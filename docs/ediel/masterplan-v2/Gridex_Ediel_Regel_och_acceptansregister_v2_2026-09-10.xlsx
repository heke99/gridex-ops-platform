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d10323cbd884e89" /></Relationships>
</file>

<file path=xl/workbook.xml><?xml version="1.0" encoding="utf-8"?>
<x:workbook xmlns:x="http://schemas.openxmlformats.org/spreadsheetml/2006/main">
  <x:sheets>
    <x:sheet xmlns:r="http://schemas.openxmlformats.org/officeDocument/2006/relationships" name="Översikt" sheetId="1" r:id="R0214eeb4e1024f98"/>
    <x:sheet xmlns:r="http://schemas.openxmlformats.org/officeDocument/2006/relationships" name="Regelkort" sheetId="2" r:id="R7ffb44feec2f4406"/>
    <x:sheet xmlns:r="http://schemas.openxmlformats.org/officeDocument/2006/relationships" name="PRODAT-fall" sheetId="3" r:id="Rbe423916e511447f"/>
    <x:sheet xmlns:r="http://schemas.openxmlformats.org/officeDocument/2006/relationships" name="PRODAT-fält" sheetId="4" r:id="R17da24d960254597"/>
    <x:sheet xmlns:r="http://schemas.openxmlformats.org/officeDocument/2006/relationships" name="Föräldragrupper" sheetId="5" r:id="R0615e3d4bef546d0"/>
    <x:sheet xmlns:r="http://schemas.openxmlformats.org/officeDocument/2006/relationships" name="PRODAT-D-villkor" sheetId="6" r:id="R0489062509b04b2b"/>
    <x:sheet xmlns:r="http://schemas.openxmlformats.org/officeDocument/2006/relationships" name="UTILTS-kapabilitet" sheetId="7" r:id="Rb1f1c8a97fbc40bf"/>
    <x:sheet xmlns:r="http://schemas.openxmlformats.org/officeDocument/2006/relationships" name="UTILTS-fält" sheetId="8" r:id="R9238f9b40a4a457e"/>
    <x:sheet xmlns:r="http://schemas.openxmlformats.org/officeDocument/2006/relationships" name="UTILTS-kodkontroll" sheetId="9" r:id="R1a2dcd224f324fa8"/>
    <x:sheet xmlns:r="http://schemas.openxmlformats.org/officeDocument/2006/relationships" name="Fel och svar" sheetId="10" r:id="Rc9d32f3c3a5e4942"/>
    <x:sheet xmlns:r="http://schemas.openxmlformats.org/officeDocument/2006/relationships" name="Tidsfrister" sheetId="11" r:id="R2a2b794a9b2e4bba"/>
    <x:sheet xmlns:r="http://schemas.openxmlformats.org/officeDocument/2006/relationships" name="Tillståndsövergångar" sheetId="12" r:id="Rf6e2cd9a506f4229"/>
    <x:sheet xmlns:r="http://schemas.openxmlformats.org/officeDocument/2006/relationships" name="Anropsordning" sheetId="13" r:id="R7867d20b81ff4dd8"/>
    <x:sheet xmlns:r="http://schemas.openxmlformats.org/officeDocument/2006/relationships" name="Datamodell" sheetId="14" r:id="Ra3e1233d6fe94d26"/>
    <x:sheet xmlns:r="http://schemas.openxmlformats.org/officeDocument/2006/relationships" name="Acceptanskontrakt" sheetId="15" r:id="Rb372e1c9a92f4809"/>
    <x:sheet xmlns:r="http://schemas.openxmlformats.org/officeDocument/2006/relationships" name="Öppna underlag" sheetId="16" r:id="Rb9bc24592d244a7c"/>
    <x:sheet xmlns:r="http://schemas.openxmlformats.org/officeDocument/2006/relationships" name="Tidigare 62 fynd" sheetId="17" r:id="Rfb4c9aa4ba234e25"/>
    <x:sheet xmlns:r="http://schemas.openxmlformats.org/officeDocument/2006/relationships" name="26 mappningsfynd" sheetId="18" r:id="R8ff0f36e221a44ae"/>
    <x:sheet xmlns:r="http://schemas.openxmlformats.org/officeDocument/2006/relationships" name="Källregister" sheetId="19" r:id="R2fecf3a0e0ef455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6">
    <x:fill>
      <x:patternFill patternType="none"/>
    </x:fill>
    <x:fill>
      <x:patternFill patternType="gray125"/>
    </x:fill>
    <x:fill>
      <x:patternFill patternType="solid">
        <x:fgColor rgb="FF17324D"/>
      </x:patternFill>
    </x:fill>
    <x:fill>
      <x:patternFill patternType="solid">
        <x:fgColor rgb="FFEDF4F7"/>
      </x:patternFill>
    </x:fill>
    <x:fill>
      <x:patternFill patternType="solid">
        <x:fgColor rgb="FF176B74"/>
      </x:patternFill>
    </x:fill>
    <x:fill>
      <x:patternFill patternType="solid">
        <x:fgColor rgb="FFFFF2D8"/>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center" wrapText="1"/>
    </x:xf>
    <x:xf numFmtId="0" fontId="0" fillId="3" borderId="1" xfId="0" applyNumberFormat="1" applyFont="1" applyFill="1" applyBorder="1"/>
    <x:xf numFmtId="0" fontId="0" fillId="3" borderId="1" xfId="0" applyNumberFormat="1" applyFont="1" applyFill="1" applyBorder="1" applyAlignment="1">
      <x:alignment wrapText="1"/>
    </x:xf>
    <x:xf numFmtId="0" fontId="0" fillId="3" borderId="1" xfId="0" applyNumberFormat="1" applyFont="1" applyFill="1" applyBorder="1" applyAlignment="1">
      <x:alignment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2" fillId="3" borderId="1" xfId="0" applyNumberFormat="1" applyFont="1" applyFill="1" applyBorder="1" applyAlignment="1">
      <x:alignment horizontal="center" vertical="center"/>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center"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center" wrapText="1"/>
    </x:xf>
    <x:xf numFmtId="0" fontId="0" fillId="5" borderId="0" xfId="0" applyNumberFormat="1" applyFont="1" applyFill="1" applyBorder="1" applyAlignment="1">
      <x:alignment horizontal="center" vertical="center" wrapText="1"/>
    </x:xf>
    <x:xf numFmtId="0" fontId="0" fillId="5" borderId="1"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cellXfs>
  <x:cellStyles count="1">
    <x:cellStyle name="Normal" xfId="0"/>
  </x:cellStyles>
  <x:dxfs count="2">
    <x:dxf>
      <x:fill>
        <x:patternFill patternType="solid">
          <x:bgColor rgb="FFFFF2D8"/>
        </x:patternFill>
      </x:fill>
    </x:dxf>
    <x:dxf>
      <x:fill>
        <x:patternFill patternType="solid">
          <x:bgColor rgb="FFFFF2D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0764e5a38714d1f" /><Relationship Type="http://schemas.openxmlformats.org/officeDocument/2006/relationships/theme" Target="/xl/theme/theme1.xml" Id="R6f8a43707cf74e3a" /><Relationship Type="http://schemas.openxmlformats.org/officeDocument/2006/relationships/sharedStrings" Target="/xl/sharedStrings.xml" Id="R6a1da1cd1322439c" /><Relationship Type="http://schemas.openxmlformats.org/officeDocument/2006/relationships/worksheet" Target="/xl/worksheets/sheet1.xml" Id="R0214eeb4e1024f98" /><Relationship Type="http://schemas.openxmlformats.org/officeDocument/2006/relationships/worksheet" Target="/xl/worksheets/sheet2.xml" Id="R7ffb44feec2f4406" /><Relationship Type="http://schemas.openxmlformats.org/officeDocument/2006/relationships/worksheet" Target="/xl/worksheets/sheet3.xml" Id="Rbe423916e511447f" /><Relationship Type="http://schemas.openxmlformats.org/officeDocument/2006/relationships/worksheet" Target="/xl/worksheets/sheet4.xml" Id="R17da24d960254597" /><Relationship Type="http://schemas.openxmlformats.org/officeDocument/2006/relationships/worksheet" Target="/xl/worksheets/sheet5.xml" Id="R0615e3d4bef546d0" /><Relationship Type="http://schemas.openxmlformats.org/officeDocument/2006/relationships/worksheet" Target="/xl/worksheets/sheet6.xml" Id="R0489062509b04b2b" /><Relationship Type="http://schemas.openxmlformats.org/officeDocument/2006/relationships/worksheet" Target="/xl/worksheets/sheet7.xml" Id="Rb1f1c8a97fbc40bf" /><Relationship Type="http://schemas.openxmlformats.org/officeDocument/2006/relationships/worksheet" Target="/xl/worksheets/sheet8.xml" Id="R9238f9b40a4a457e" /><Relationship Type="http://schemas.openxmlformats.org/officeDocument/2006/relationships/worksheet" Target="/xl/worksheets/sheet9.xml" Id="R1a2dcd224f324fa8" /><Relationship Type="http://schemas.openxmlformats.org/officeDocument/2006/relationships/worksheet" Target="/xl/worksheets/sheet10.xml" Id="Rc9d32f3c3a5e4942" /><Relationship Type="http://schemas.openxmlformats.org/officeDocument/2006/relationships/worksheet" Target="/xl/worksheets/sheet11.xml" Id="R2a2b794a9b2e4bba" /><Relationship Type="http://schemas.openxmlformats.org/officeDocument/2006/relationships/worksheet" Target="/xl/worksheets/sheet12.xml" Id="Rf6e2cd9a506f4229" /><Relationship Type="http://schemas.openxmlformats.org/officeDocument/2006/relationships/worksheet" Target="/xl/worksheets/sheet13.xml" Id="R7867d20b81ff4dd8" /><Relationship Type="http://schemas.openxmlformats.org/officeDocument/2006/relationships/worksheet" Target="/xl/worksheets/sheet14.xml" Id="Ra3e1233d6fe94d26" /><Relationship Type="http://schemas.openxmlformats.org/officeDocument/2006/relationships/worksheet" Target="/xl/worksheets/sheet15.xml" Id="Rb372e1c9a92f4809" /><Relationship Type="http://schemas.openxmlformats.org/officeDocument/2006/relationships/worksheet" Target="/xl/worksheets/sheet16.xml" Id="Rb9bc24592d244a7c" /><Relationship Type="http://schemas.openxmlformats.org/officeDocument/2006/relationships/worksheet" Target="/xl/worksheets/sheet17.xml" Id="Rfb4c9aa4ba234e25" /><Relationship Type="http://schemas.openxmlformats.org/officeDocument/2006/relationships/worksheet" Target="/xl/worksheets/sheet18.xml" Id="R8ff0f36e221a44ae" /><Relationship Type="http://schemas.openxmlformats.org/officeDocument/2006/relationships/worksheet" Target="/xl/worksheets/sheet19.xml" Id="R2fecf3a0e0ef4551" /></Relationships>
</file>

<file path=xl/tables/table1.xml><?xml version="1.0" encoding="utf-8"?>
<x:table xmlns:x="http://schemas.openxmlformats.org/spreadsheetml/2006/main" id="1" name="GridexSpec01" displayName="GridexSpec01" ref="A4:N125" headerRowCount="1" totalsRowCount="0" totalsRowShown="0">
  <x:tableColumns count="14">
    <x:tableColumn id="1" name="Regel-id"/>
    <x:tableColumn id="2" name="Område"/>
    <x:tableColumn id="3" name="Kravtyp"/>
    <x:tableColumn id="4" name="Omfattning"/>
    <x:tableColumn id="5" name="När"/>
    <x:tableColumn id="6" name="Villkor"/>
    <x:tableColumn id="7" name="Vid godkänt"/>
    <x:tableColumn id="8" name="Vid fel / saknat underlag"/>
    <x:tableColumn id="9" name="Ansvarig modul"/>
    <x:tableColumn id="10" name="Källa / avsnitt"/>
    <x:tableColumn id="11" name="Aktiveringsgrind"/>
    <x:tableColumn id="12" name="Implementationsstatus"/>
    <x:tableColumn id="13" name="Acceptans-id"/>
    <x:tableColumn id="14" name="Källplats"/>
  </x:tableColumns>
  <x:tableStyleInfo name="TableStyleMedium2" showFirstColumn="0" showLastColumn="0" showRowStripes="1" showColumnStripes="0"/>
</x:table>
</file>

<file path=xl/tables/table2.xml><?xml version="1.0" encoding="utf-8"?>
<x:table xmlns:x="http://schemas.openxmlformats.org/spreadsheetml/2006/main" id="2" name="GridexSpec02" displayName="GridexSpec02" ref="A4:O42" headerRowCount="1" totalsRowCount="0" totalsRowShown="0">
  <x:tableColumns count="15">
    <x:tableColumn id="1" name="Fall-id"/>
    <x:tableColumn id="2" name="Funktion"/>
    <x:tableColumn id="3" name="Undertyp"/>
    <x:tableColumn id="4" name="Wire-orsak"/>
    <x:tableColumn id="5" name="Roll"/>
    <x:tableColumn id="6" name="Riktning"/>
    <x:tableColumn id="7" name="Application Reference"/>
    <x:tableColumn id="8" name="Utlösare"/>
    <x:tableColumn id="9" name="Förväntat svar / händelse"/>
    <x:tableColumn id="10" name="Tillåten effekt"/>
    <x:tableColumn id="11" name="Ytterligare villkor"/>
    <x:tableColumn id="12" name="Aktivering"/>
    <x:tableColumn id="13" name="Fältprofil"/>
    <x:tableColumn id="14" name="Källa"/>
    <x:tableColumn id="15" name="Acceptans-id"/>
  </x:tableColumns>
  <x:tableStyleInfo name="TableStyleMedium2" showFirstColumn="0" showLastColumn="0" showRowStripes="1" showColumnStripes="0"/>
</x:table>
</file>

<file path=xl/tables/table3.xml><?xml version="1.0" encoding="utf-8"?>
<x:table xmlns:x="http://schemas.openxmlformats.org/spreadsheetml/2006/main" id="3" name="GridexSpec03" displayName="GridexSpec03" ref="A4:W78" headerRowCount="1" totalsRowCount="0" totalsRowShown="0">
  <x:tableColumns count="23">
    <x:tableColumn id="1" name="Fältnr"/>
    <x:tableColumn id="2" name="Namn"/>
    <x:tableColumn id="3" name="Wire-locator"/>
    <x:tableColumn id="4" name="Gruppnivå"/>
    <x:tableColumn id="5" name="Förälder"/>
    <x:tableColumn id="6" name="Z01"/>
    <x:tableColumn id="7" name="Z02"/>
    <x:tableColumn id="8" name="Z03"/>
    <x:tableColumn id="9" name="Z04"/>
    <x:tableColumn id="10" name="Z05"/>
    <x:tableColumn id="11" name="Z06"/>
    <x:tableColumn id="12" name="Z08"/>
    <x:tableColumn id="13" name="Z09"/>
    <x:tableColumn id="14" name="Z10"/>
    <x:tableColumn id="15" name="Z13"/>
    <x:tableColumn id="16" name="Z14"/>
    <x:tableColumn id="17" name="Z15"/>
    <x:tableColumn id="18" name="Z18"/>
    <x:tableColumn id="19" name="Värdekontrakt"/>
    <x:tableColumn id="20" name="Villkor / notering"/>
    <x:tableColumn id="21" name="Källsida"/>
    <x:tableColumn id="22" name="Segmentkälla"/>
    <x:tableColumn id="23" name="Syntaxdefinition"/>
  </x:tableColumns>
  <x:tableStyleInfo name="TableStyleMedium2" showFirstColumn="0" showLastColumn="0" showRowStripes="1" showColumnStripes="0"/>
</x:table>
</file>

<file path=xl/tables/table4.xml><?xml version="1.0" encoding="utf-8"?>
<x:table xmlns:x="http://schemas.openxmlformats.org/spreadsheetml/2006/main" id="4" name="GridexSpec04" displayName="GridexSpec04" ref="A4:Q7" headerRowCount="1" totalsRowCount="0" totalsRowShown="0">
  <x:tableColumns count="17">
    <x:tableColumn id="1" name="Grupp"/>
    <x:tableColumn id="2" name="Namn"/>
    <x:tableColumn id="3" name="Z01"/>
    <x:tableColumn id="4" name="Z02"/>
    <x:tableColumn id="5" name="Z03"/>
    <x:tableColumn id="6" name="Z04"/>
    <x:tableColumn id="7" name="Z05"/>
    <x:tableColumn id="8" name="Z06"/>
    <x:tableColumn id="9" name="Z08"/>
    <x:tableColumn id="10" name="Z09"/>
    <x:tableColumn id="11" name="Z10"/>
    <x:tableColumn id="12" name="Z13"/>
    <x:tableColumn id="13" name="Z14"/>
    <x:tableColumn id="14" name="Z15"/>
    <x:tableColumn id="15" name="Z18"/>
    <x:tableColumn id="16" name="Villkor"/>
    <x:tableColumn id="17" name="Källsidor"/>
  </x:tableColumns>
  <x:tableStyleInfo name="TableStyleMedium2" showFirstColumn="0" showLastColumn="0" showRowStripes="1" showColumnStripes="0"/>
</x:table>
</file>

<file path=xl/tables/table5.xml><?xml version="1.0" encoding="utf-8"?>
<x:table xmlns:x="http://schemas.openxmlformats.org/spreadsheetml/2006/main" id="5" name="GridexSpec05" displayName="GridexSpec05" ref="A4:J114" headerRowCount="1" totalsRowCount="0" totalsRowShown="0">
  <x:tableColumns count="10">
    <x:tableColumn id="1" name="Villkors-id"/>
    <x:tableColumn id="2" name="Fält"/>
    <x:tableColumn id="3" name="Meddelande"/>
    <x:tableColumn id="4" name="När"/>
    <x:tableColumn id="5" name="Sant"/>
    <x:tableColumn id="6" name="Falskt"/>
    <x:tableColumn id="7" name="Okänt"/>
    <x:tableColumn id="8" name="Överordnad gruppregel"/>
    <x:tableColumn id="9" name="Notering"/>
    <x:tableColumn id="10" name="Källa"/>
  </x:tableColumns>
  <x:tableStyleInfo name="TableStyleMedium2" showFirstColumn="0" showLastColumn="0" showRowStripes="1" showColumnStripes="0"/>
</x:table>
</file>

<file path=xl/tables/table6.xml><?xml version="1.0" encoding="utf-8"?>
<x:table xmlns:x="http://schemas.openxmlformats.org/spreadsheetml/2006/main" id="6" name="GridexSpec06" displayName="GridexSpec06" ref="A4:L26" headerRowCount="1" totalsRowCount="0" totalsRowShown="0">
  <x:tableColumns count="12">
    <x:tableColumn id="1" name="Kapabilitets-id"/>
    <x:tableColumn id="2" name="Kod"/>
    <x:tableColumn id="3" name="Roll"/>
    <x:tableColumn id="4" name="Riktning"/>
    <x:tableColumn id="5" name="Juridisk avsändare"/>
    <x:tableColumn id="6" name="Juridisk mottagare"/>
    <x:tableColumn id="7" name="Betydelse"/>
    <x:tableColumn id="8" name="Application Reference"/>
    <x:tableColumn id="9" name="Förväntat svar"/>
    <x:tableColumn id="10" name="Villkor"/>
    <x:tableColumn id="11" name="Aktivering"/>
    <x:tableColumn id="12" name="Källa"/>
  </x:tableColumns>
  <x:tableStyleInfo name="TableStyleMedium2" showFirstColumn="0" showLastColumn="0" showRowStripes="1" showColumnStripes="0"/>
</x:table>
</file>

<file path=xl/tables/table7.xml><?xml version="1.0" encoding="utf-8"?>
<x:table xmlns:x="http://schemas.openxmlformats.org/spreadsheetml/2006/main" id="7" name="GridexSpec07" displayName="GridexSpec07" ref="A4:K156" headerRowCount="1" totalsRowCount="0" totalsRowShown="0">
  <x:tableColumns count="11">
    <x:tableColumn id="1" name="Rad-id"/>
    <x:tableColumn id="2" name="Fält"/>
    <x:tableColumn id="3" name="Profilkontext"/>
    <x:tableColumn id="4" name="Namn"/>
    <x:tableColumn id="5" name="Meddelandeanvändning"/>
    <x:tableColumn id="6" name="Villkor"/>
    <x:tableColumn id="7" name="Locator enligt källa"/>
    <x:tableColumn id="8" name="Källa"/>
    <x:tableColumn id="9" name="Sida"/>
    <x:tableColumn id="10" name="Gäller från"/>
    <x:tableColumn id="11" name="Verifieringsstatus"/>
  </x:tableColumns>
  <x:tableStyleInfo name="TableStyleMedium2" showFirstColumn="0" showLastColumn="0" showRowStripes="1" showColumnStripes="0"/>
</x:table>
</file>

<file path=xl/tables/table8.xml><?xml version="1.0" encoding="utf-8"?>
<x:table xmlns:x="http://schemas.openxmlformats.org/spreadsheetml/2006/main" id="8" name="GridexSpec08" displayName="GridexSpec08" ref="A4:H119" headerRowCount="1" totalsRowCount="0" totalsRowShown="0">
  <x:tableColumns count="8">
    <x:tableColumn id="1" name="Kontroll-id"/>
    <x:tableColumn id="2" name="Locator"/>
    <x:tableColumn id="3" name="Fältreferens"/>
    <x:tableColumn id="4" name="Namn"/>
    <x:tableColumn id="5" name="Tillåtet / villkor"/>
    <x:tableColumn id="6" name="Notering"/>
    <x:tableColumn id="7" name="Källa"/>
    <x:tableColumn id="8" name="Status"/>
  </x:tableColumns>
  <x:tableStyleInfo name="TableStyleMedium2" showFirstColumn="0" showLastColumn="0" showRowStripes="1" showColumnStripes="0"/>
</x:table>
</file>

<file path=xl/tables/table9.xml><?xml version="1.0" encoding="utf-8"?>
<x:table xmlns:x="http://schemas.openxmlformats.org/spreadsheetml/2006/main" id="9" name="GridexSpec09" displayName="GridexSpec09" ref="A4:G24" headerRowCount="1" totalsRowCount="0" totalsRowShown="0">
  <x:tableColumns count="7">
    <x:tableColumn id="1" name="Kontroll-id"/>
    <x:tableColumn id="2" name="Nivå"/>
    <x:tableColumn id="3" name="Kontroll"/>
    <x:tableColumn id="4" name="Godkänt"/>
    <x:tableColumn id="5" name="Fel"/>
    <x:tableColumn id="6" name="Svar"/>
    <x:tableColumn id="7" name="Källa"/>
  </x:tableColumns>
  <x:tableStyleInfo name="TableStyleMedium2" showFirstColumn="0" showLastColumn="0" showRowStripes="1" showColumnStripes="0"/>
</x:table>
</file>

<file path=xl/tables/table10.xml><?xml version="1.0" encoding="utf-8"?>
<x:table xmlns:x="http://schemas.openxmlformats.org/spreadsheetml/2006/main" id="10" name="GridexSpec10" displayName="GridexSpec10" ref="A4:I35" headerRowCount="1" totalsRowCount="0" totalsRowShown="0">
  <x:tableColumns count="9">
    <x:tableColumn id="1" name="Timer-id"/>
    <x:tableColumn id="2" name="Händelse"/>
    <x:tableColumn id="3" name="Startpunkt"/>
    <x:tableColumn id="4" name="Frist"/>
    <x:tableColumn id="5" name="Kalender"/>
    <x:tableColumn id="6" name="Förväntad handling"/>
    <x:tableColumn id="7" name="När tiden gått ut"/>
    <x:tableColumn id="8" name="Kravtyp"/>
    <x:tableColumn id="9" name="Källa"/>
  </x:tableColumns>
  <x:tableStyleInfo name="TableStyleMedium2" showFirstColumn="0" showLastColumn="0" showRowStripes="1" showColumnStripes="0"/>
</x:table>
</file>

<file path=xl/tables/table11.xml><?xml version="1.0" encoding="utf-8"?>
<x:table xmlns:x="http://schemas.openxmlformats.org/spreadsheetml/2006/main" id="11" name="GridexSpec11" displayName="GridexSpec11" ref="A4:K46" headerRowCount="1" totalsRowCount="0" totalsRowShown="0">
  <x:tableColumns count="11">
    <x:tableColumn id="1" name="Övergångs-id"/>
    <x:tableColumn id="2" name="Lager"/>
    <x:tableColumn id="3" name="Från"/>
    <x:tableColumn id="4" name="Händelse"/>
    <x:tableColumn id="5" name="Villkor"/>
    <x:tableColumn id="6" name="Till"/>
    <x:tableColumn id="7" name="Atomiska effekter"/>
    <x:tableColumn id="8" name="Förväntat nästa steg"/>
    <x:tableColumn id="9" name="Om villkoren inte uppfylls"/>
    <x:tableColumn id="10" name="Regel-id"/>
    <x:tableColumn id="11" name="Källa"/>
  </x:tableColumns>
  <x:tableStyleInfo name="TableStyleMedium2" showFirstColumn="0" showLastColumn="0" showRowStripes="1" showColumnStripes="0"/>
</x:table>
</file>

<file path=xl/tables/table12.xml><?xml version="1.0" encoding="utf-8"?>
<x:table xmlns:x="http://schemas.openxmlformats.org/spreadsheetml/2006/main" id="12" name="GridexSpec12" displayName="GridexSpec12" ref="A4:G20" headerRowCount="1" totalsRowCount="0" totalsRowShown="0">
  <x:tableColumns count="7">
    <x:tableColumn id="1" name="Anrop"/>
    <x:tableColumn id="2" name="Ingång"/>
    <x:tableColumn id="3" name="Befintlig ansvarig del"/>
    <x:tableColumn id="4" name="Målkontrakt"/>
    <x:tableColumn id="5" name="Utdata"/>
    <x:tableColumn id="6" name="Regel-id"/>
    <x:tableColumn id="7" name="Får inte göra"/>
  </x:tableColumns>
  <x:tableStyleInfo name="TableStyleMedium2" showFirstColumn="0" showLastColumn="0" showRowStripes="1" showColumnStripes="0"/>
</x:table>
</file>

<file path=xl/tables/table13.xml><?xml version="1.0" encoding="utf-8"?>
<x:table xmlns:x="http://schemas.openxmlformats.org/spreadsheetml/2006/main" id="13" name="GridexSpec13" displayName="GridexSpec13" ref="A4:D21" headerRowCount="1" totalsRowCount="0" totalsRowShown="0">
  <x:tableColumns count="4">
    <x:tableColumn id="1" name="Begrepp"/>
    <x:tableColumn id="2" name="Minsta nödvändiga fält"/>
    <x:tableColumn id="3" name="Betydelse"/>
    <x:tableColumn id="4" name="Krav / begränsning"/>
  </x:tableColumns>
  <x:tableStyleInfo name="TableStyleMedium2" showFirstColumn="0" showLastColumn="0" showRowStripes="1" showColumnStripes="0"/>
</x:table>
</file>

<file path=xl/tables/table14.xml><?xml version="1.0" encoding="utf-8"?>
<x:table xmlns:x="http://schemas.openxmlformats.org/spreadsheetml/2006/main" id="14" name="GridexSpec14" displayName="GridexSpec14" ref="A4:J235" headerRowCount="1" totalsRowCount="0" totalsRowShown="0">
  <x:tableColumns count="10">
    <x:tableColumn id="1" name="Test-id"/>
    <x:tableColumn id="2" name="Fall"/>
    <x:tableColumn id="3" name="Givet"/>
    <x:tableColumn id="4" name="När"/>
    <x:tableColumn id="5" name="Förväntat"/>
    <x:tableColumn id="6" name="Förbjudet utfall"/>
    <x:tableColumn id="7" name="Regel-id"/>
    <x:tableColumn id="8" name="Testnivå"/>
    <x:tableColumn id="9" name="Körstatus"/>
    <x:tableColumn id="10" name="Bevis"/>
  </x:tableColumns>
  <x:tableStyleInfo name="TableStyleMedium2" showFirstColumn="0" showLastColumn="0" showRowStripes="1" showColumnStripes="0"/>
</x:table>
</file>

<file path=xl/tables/table15.xml><?xml version="1.0" encoding="utf-8"?>
<x:table xmlns:x="http://schemas.openxmlformats.org/spreadsheetml/2006/main" id="15" name="GridexSpec15" displayName="GridexSpec15" ref="A4:G11" headerRowCount="1" totalsRowCount="0" totalsRowShown="0">
  <x:tableColumns count="7">
    <x:tableColumn id="1" name="Grind-id"/>
    <x:tableColumn id="2" name="Typ"/>
    <x:tableColumn id="3" name="Vad behövs"/>
    <x:tableColumn id="4" name="Varför"/>
    <x:tableColumn id="5" name="Blockerar"/>
    <x:tableColumn id="6" name="Hur den stängs"/>
    <x:tableColumn id="7" name="Status"/>
  </x:tableColumns>
  <x:tableStyleInfo name="TableStyleMedium2" showFirstColumn="0" showLastColumn="0" showRowStripes="1" showColumnStripes="0"/>
</x:table>
</file>

<file path=xl/tables/table16.xml><?xml version="1.0" encoding="utf-8"?>
<x:table xmlns:x="http://schemas.openxmlformats.org/spreadsheetml/2006/main" id="16" name="GridexSpec16" displayName="GridexSpec16" ref="A4:M66" headerRowCount="1" totalsRowCount="0" totalsRowShown="0">
  <x:tableColumns count="13">
    <x:tableColumn id="1" name="Fynd-id"/>
    <x:tableColumn id="2" name="Prioritet"/>
    <x:tableColumn id="3" name="Bevisklass"/>
    <x:tableColumn id="4" name="Rubrik"/>
    <x:tableColumn id="5" name="Observerat"/>
    <x:tableColumn id="6" name="Åtgärd"/>
    <x:tableColumn id="7" name="Acceptans"/>
    <x:tableColumn id="8" name="Kod"/>
    <x:tableColumn id="9" name="Källa"/>
    <x:tableColumn id="10" name="Källplats"/>
    <x:tableColumn id="11" name="Status"/>
    <x:tableColumn id="12" name="Ansvarig"/>
    <x:tableColumn id="13" name="Verifieringsbevis"/>
  </x:tableColumns>
  <x:tableStyleInfo name="TableStyleMedium2" showFirstColumn="0" showLastColumn="0" showRowStripes="1" showColumnStripes="0"/>
</x:table>
</file>

<file path=xl/tables/table17.xml><?xml version="1.0" encoding="utf-8"?>
<x:table xmlns:x="http://schemas.openxmlformats.org/spreadsheetml/2006/main" id="17" name="GridexSpec17" displayName="GridexSpec17" ref="A4:E30" headerRowCount="1" totalsRowCount="0" totalsRowShown="0">
  <x:tableColumns count="5">
    <x:tableColumn id="1" name="Fält"/>
    <x:tableColumn id="2" name="Namn"/>
    <x:tableColumn id="3" name="Tidigare kodkoppling"/>
    <x:tableColumn id="4" name="Källkoppling"/>
    <x:tableColumn id="5" name="Källsida"/>
  </x:tableColumns>
  <x:tableStyleInfo name="TableStyleMedium2" showFirstColumn="0" showLastColumn="0" showRowStripes="1" showColumnStripes="0"/>
</x:table>
</file>

<file path=xl/tables/table18.xml><?xml version="1.0" encoding="utf-8"?>
<x:table xmlns:x="http://schemas.openxmlformats.org/spreadsheetml/2006/main" id="18" name="GridexSpec18" displayName="GridexSpec18" ref="A4:G14" headerRowCount="1" totalsRowCount="0" totalsRowShown="0">
  <x:tableColumns count="7">
    <x:tableColumn id="1" name="Käll-id"/>
    <x:tableColumn id="2" name="Dokument"/>
    <x:tableColumn id="3" name="Originalfil"/>
    <x:tableColumn id="4" name="SHA-256 / status"/>
    <x:tableColumn id="5" name="Sidor"/>
    <x:tableColumn id="6" name="Åtkomst / begränsning"/>
    <x:tableColumn id="7" name="Officiell pla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1b41ad3cef74670" /></Relationships>
</file>

<file path=xl/worksheets/_rels/sheet3.xml.rels>&#65279;<?xml version="1.0" encoding="utf-8"?><Relationships xmlns="http://schemas.openxmlformats.org/package/2006/relationships"><Relationship Type="http://schemas.openxmlformats.org/officeDocument/2006/relationships/table" Target="/xl/tables/table2.xml" Id="R81ae7f7656fd4ed4" /></Relationships>
</file>

<file path=xl/worksheets/_rels/sheet4.xml.rels>&#65279;<?xml version="1.0" encoding="utf-8"?><Relationships xmlns="http://schemas.openxmlformats.org/package/2006/relationships"><Relationship Type="http://schemas.openxmlformats.org/officeDocument/2006/relationships/table" Target="/xl/tables/table3.xml" Id="R540462ab4f9840e2" /></Relationships>
</file>

<file path=xl/worksheets/_rels/sheet5.xml.rels>&#65279;<?xml version="1.0" encoding="utf-8"?><Relationships xmlns="http://schemas.openxmlformats.org/package/2006/relationships"><Relationship Type="http://schemas.openxmlformats.org/officeDocument/2006/relationships/table" Target="/xl/tables/table4.xml" Id="R385e0896dad84c0a" /></Relationships>
</file>

<file path=xl/worksheets/_rels/sheet6.xml.rels>&#65279;<?xml version="1.0" encoding="utf-8"?><Relationships xmlns="http://schemas.openxmlformats.org/package/2006/relationships"><Relationship Type="http://schemas.openxmlformats.org/officeDocument/2006/relationships/table" Target="/xl/tables/table5.xml" Id="R67ae90ea5095447c" /></Relationships>
</file>

<file path=xl/worksheets/_rels/sheet7.xml.rels>&#65279;<?xml version="1.0" encoding="utf-8"?><Relationships xmlns="http://schemas.openxmlformats.org/package/2006/relationships"><Relationship Type="http://schemas.openxmlformats.org/officeDocument/2006/relationships/table" Target="/xl/tables/table6.xml" Id="R9c52b6ebe6e14b10" /></Relationships>
</file>

<file path=xl/worksheets/_rels/sheet8.xml.rels>&#65279;<?xml version="1.0" encoding="utf-8"?><Relationships xmlns="http://schemas.openxmlformats.org/package/2006/relationships"><Relationship Type="http://schemas.openxmlformats.org/officeDocument/2006/relationships/table" Target="/xl/tables/table7.xml" Id="R5b953e89a6624f38" /></Relationships>
</file>

<file path=xl/worksheets/_rels/sheet9.xml.rels>&#65279;<?xml version="1.0" encoding="utf-8"?><Relationships xmlns="http://schemas.openxmlformats.org/package/2006/relationships"><Relationship Type="http://schemas.openxmlformats.org/officeDocument/2006/relationships/table" Target="/xl/tables/table8.xml" Id="R45e79cb0b44f4993" /></Relationships>
</file>

<file path=xl/worksheets/_rels/sheet10.xml.rels>&#65279;<?xml version="1.0" encoding="utf-8"?><Relationships xmlns="http://schemas.openxmlformats.org/package/2006/relationships"><Relationship Type="http://schemas.openxmlformats.org/officeDocument/2006/relationships/table" Target="/xl/tables/table9.xml" Id="Rb4ff50ce7ef2485f" /></Relationships>
</file>

<file path=xl/worksheets/_rels/sheet11.xml.rels>&#65279;<?xml version="1.0" encoding="utf-8"?><Relationships xmlns="http://schemas.openxmlformats.org/package/2006/relationships"><Relationship Type="http://schemas.openxmlformats.org/officeDocument/2006/relationships/table" Target="/xl/tables/table10.xml" Id="R812f53ca704d4512" /></Relationships>
</file>

<file path=xl/worksheets/_rels/sheet12.xml.rels>&#65279;<?xml version="1.0" encoding="utf-8"?><Relationships xmlns="http://schemas.openxmlformats.org/package/2006/relationships"><Relationship Type="http://schemas.openxmlformats.org/officeDocument/2006/relationships/table" Target="/xl/tables/table11.xml" Id="R9095e7e8f1254d0f" /></Relationships>
</file>

<file path=xl/worksheets/_rels/sheet13.xml.rels>&#65279;<?xml version="1.0" encoding="utf-8"?><Relationships xmlns="http://schemas.openxmlformats.org/package/2006/relationships"><Relationship Type="http://schemas.openxmlformats.org/officeDocument/2006/relationships/table" Target="/xl/tables/table12.xml" Id="R141031cf3a6e44a5" /></Relationships>
</file>

<file path=xl/worksheets/_rels/sheet14.xml.rels>&#65279;<?xml version="1.0" encoding="utf-8"?><Relationships xmlns="http://schemas.openxmlformats.org/package/2006/relationships"><Relationship Type="http://schemas.openxmlformats.org/officeDocument/2006/relationships/table" Target="/xl/tables/table13.xml" Id="R668a121519944b65" /></Relationships>
</file>

<file path=xl/worksheets/_rels/sheet15.xml.rels>&#65279;<?xml version="1.0" encoding="utf-8"?><Relationships xmlns="http://schemas.openxmlformats.org/package/2006/relationships"><Relationship Type="http://schemas.openxmlformats.org/officeDocument/2006/relationships/table" Target="/xl/tables/table14.xml" Id="R3decfaf2d9094e1d" /></Relationships>
</file>

<file path=xl/worksheets/_rels/sheet16.xml.rels>&#65279;<?xml version="1.0" encoding="utf-8"?><Relationships xmlns="http://schemas.openxmlformats.org/package/2006/relationships"><Relationship Type="http://schemas.openxmlformats.org/officeDocument/2006/relationships/table" Target="/xl/tables/table15.xml" Id="Ra130ff821fab4f3b" /></Relationships>
</file>

<file path=xl/worksheets/_rels/sheet17.xml.rels>&#65279;<?xml version="1.0" encoding="utf-8"?><Relationships xmlns="http://schemas.openxmlformats.org/package/2006/relationships"><Relationship Type="http://schemas.openxmlformats.org/officeDocument/2006/relationships/table" Target="/xl/tables/table16.xml" Id="Rf977169f2bf8449b" /></Relationships>
</file>

<file path=xl/worksheets/_rels/sheet18.xml.rels>&#65279;<?xml version="1.0" encoding="utf-8"?><Relationships xmlns="http://schemas.openxmlformats.org/package/2006/relationships"><Relationship Type="http://schemas.openxmlformats.org/officeDocument/2006/relationships/table" Target="/xl/tables/table17.xml" Id="R745077bfb7274d81" /></Relationships>
</file>

<file path=xl/worksheets/_rels/sheet19.xml.rels>&#65279;<?xml version="1.0" encoding="utf-8"?><Relationships xmlns="http://schemas.openxmlformats.org/package/2006/relationships"><Relationship Type="http://schemas.openxmlformats.org/officeDocument/2006/relationships/table" Target="/xl/tables/table18.xml" Id="Re437771d1bca4dce" /></Relationships>
</file>

<file path=xl/worksheets/sheet1.xml><?xml version="1.0" encoding="utf-8"?>
<x:worksheet xmlns:x="http://schemas.openxmlformats.org/spreadsheetml/2006/main">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s>
  <x:sheetData>
    <x:row r="1" ht="38" customHeight="1">
      <x:c r="A1" s="3" t="str">
        <x:v>GRIDEX · EDIEL MASTER-MASTERPLAN 2.0</x:v>
      </x:c>
      <x:c r="B1" s="3"/>
      <x:c r="C1" s="3"/>
      <x:c r="D1" s="3"/>
      <x:c r="E1" s="3"/>
      <x:c r="F1" s="3"/>
      <x:c r="G1" s="3"/>
      <x:c r="H1" s="3"/>
    </x:row>
    <x:row r="2" ht="25" customHeight="1">
      <x:c r="A2" s="8" t="str">
        <x:v>Multitenant · elhandel (DDQ) · energitjänster (DGI) · ESCO som provider åt andra tenants. Byggspecifikation, inte ett intyg om färdig implementation eller godkänd produktion.</x:v>
      </x:c>
      <x:c r="B2" s="8"/>
      <x:c r="C2" s="8"/>
      <x:c r="D2" s="8"/>
      <x:c r="E2" s="8"/>
      <x:c r="F2" s="8"/>
      <x:c r="G2" s="8"/>
      <x:c r="H2" s="8"/>
    </x:row>
    <x:row r="3" ht="25" customHeight="1">
      <x:c r="A3" s="8"/>
      <x:c r="B3" s="8"/>
      <x:c r="C3" s="8"/>
      <x:c r="D3" s="8"/>
      <x:c r="E3" s="8"/>
      <x:c r="F3" s="8"/>
      <x:c r="G3" s="8"/>
      <x:c r="H3" s="8"/>
    </x:row>
    <x:row r="5" ht="27" customHeight="1">
      <x:c r="A5" s="13" t="str">
        <x:v>OMFATTNING OCH BEVIS — håll isär antal krav och verifierad drift</x:v>
      </x:c>
      <x:c r="B5" s="13"/>
      <x:c r="C5" s="13"/>
      <x:c r="D5" s="13"/>
      <x:c r="E5" s="13"/>
      <x:c r="F5" s="13"/>
      <x:c r="G5" s="13"/>
      <x:c r="H5" s="13"/>
    </x:row>
    <x:row r="7" ht="27" customHeight="1">
      <x:c r="A7" s="23" t="str">
        <x:v>Regelkort</x:v>
      </x:c>
      <x:c r="B7" s="23"/>
      <x:c r="C7" s="23" t="str">
        <x:v>PRODAT-fall</x:v>
      </x:c>
      <x:c r="D7" s="23"/>
      <x:c r="E7" s="23" t="str">
        <x:v>Acceptanskontrakt</x:v>
      </x:c>
      <x:c r="F7" s="23"/>
      <x:c r="G7" s="23" t="str">
        <x:v>Öppna underlag</x:v>
      </x:c>
      <x:c r="H7" s="23"/>
    </x:row>
    <x:row r="8" ht="26" customHeight="1">
      <x:c r="A8" s="26" t="n">
        <x:f>COUNTA('Regelkort'!A5:A10000)</x:f>
        <x:v>121</x:v>
      </x:c>
      <x:c r="B8" s="26"/>
      <x:c r="C8" s="26" t="n">
        <x:f>COUNTA('PRODAT-fall'!A5:A10000)</x:f>
        <x:v>38</x:v>
      </x:c>
      <x:c r="D8" s="26"/>
      <x:c r="E8" s="26" t="n">
        <x:f>COUNTA('Acceptanskontrakt'!A5:A10000)</x:f>
        <x:v>231</x:v>
      </x:c>
      <x:c r="F8" s="26"/>
      <x:c r="G8" s="26" t="n">
        <x:f>COUNTIF('Öppna underlag'!G5:G10000,"Öppen")</x:f>
        <x:v>7</x:v>
      </x:c>
      <x:c r="H8" s="26"/>
    </x:row>
    <x:row r="9" ht="26" customHeight="1">
      <x:c r="A9" s="26"/>
      <x:c r="B9" s="26"/>
      <x:c r="C9" s="26"/>
      <x:c r="D9" s="26"/>
      <x:c r="E9" s="26"/>
      <x:c r="F9" s="26"/>
      <x:c r="G9" s="26"/>
      <x:c r="H9" s="26"/>
    </x:row>
    <x:row r="11" ht="26" customHeight="1">
      <x:c r="A11" s="30" t="str">
        <x:v>Systemprov utan dokumenterat genomförande
Antalet till höger är inte ett felmått; proven är ännu inte körda mot Gridex.</x:v>
      </x:c>
      <x:c r="B11" s="30"/>
      <x:c r="C11" s="30"/>
      <x:c r="D11" s="30"/>
      <x:c r="E11" s="30"/>
      <x:c r="F11" s="30"/>
      <x:c r="G11" s="34" t="n">
        <x:f>COUNTIF('Acceptanskontrakt'!I5:I10000,"Inte körd mot systemet")</x:f>
        <x:v>231</x:v>
      </x:c>
      <x:c r="H11" s="34"/>
    </x:row>
    <x:row r="12" ht="26" customHeight="1">
      <x:c r="A12" s="30"/>
      <x:c r="B12" s="30"/>
      <x:c r="C12" s="30"/>
      <x:c r="D12" s="30"/>
      <x:c r="E12" s="30"/>
      <x:c r="F12" s="30"/>
      <x:c r="G12" s="34"/>
      <x:c r="H12" s="34"/>
    </x:row>
    <x:row r="14" ht="27" customHeight="1">
      <x:c r="A14" s="13" t="str">
        <x:v>LÄSORDNING</x:v>
      </x:c>
      <x:c r="B14" s="13"/>
      <x:c r="C14" s="13"/>
      <x:c r="D14" s="13"/>
      <x:c r="E14" s="13"/>
      <x:c r="F14" s="13"/>
      <x:c r="G14" s="13"/>
      <x:c r="H14" s="13"/>
    </x:row>
    <x:row r="16" ht="45" customHeight="1">
      <x:c r="A16" s="36" t="str">
        <x:v>1</x:v>
      </x:c>
      <x:c r="B16" s="36" t="str">
        <x:v>MASTERMASTERPLAN_v2.md</x:v>
      </x:c>
      <x:c r="C16" s="36"/>
      <x:c r="D16" s="36"/>
      <x:c r="E16" s="36" t="str">
        <x:v>Scope, tre driftsätt, central beslutskedja och genomförande.</x:v>
      </x:c>
      <x:c r="F16" s="36"/>
      <x:c r="G16" s="36"/>
      <x:c r="H16" s="36"/>
    </x:row>
    <x:row r="17" ht="45" customHeight="1">
      <x:c r="A17" s="36" t="str">
        <x:v>2</x:v>
      </x:c>
      <x:c r="B17" s="36" t="str">
        <x:v>Regelkort / PRODAT-fall</x:v>
      </x:c>
      <x:c r="C17" s="36"/>
      <x:c r="D17" s="36"/>
      <x:c r="E17" s="36" t="str">
        <x:v>När en regel används, vilket svar och vilken affärseffekt som förväntas.</x:v>
      </x:c>
      <x:c r="F17" s="36"/>
      <x:c r="G17" s="36"/>
      <x:c r="H17" s="36"/>
    </x:row>
    <x:row r="18" ht="45" customHeight="1">
      <x:c r="A18" s="36" t="str">
        <x:v>3</x:v>
      </x:c>
      <x:c r="B18" s="36" t="str">
        <x:v>PRODAT-fält / D-villkor</x:v>
      </x:c>
      <x:c r="C18" s="36"/>
      <x:c r="D18" s="36"/>
      <x:c r="E18" s="36" t="str">
        <x:v>Fältposition, R/D/O, föräldragrupper och flerregistervillkor.</x:v>
      </x:c>
      <x:c r="F18" s="36"/>
      <x:c r="G18" s="36"/>
      <x:c r="H18" s="36"/>
    </x:row>
    <x:row r="19" ht="45" customHeight="1">
      <x:c r="A19" s="36" t="str">
        <x:v>4</x:v>
      </x:c>
      <x:c r="B19" s="36" t="str">
        <x:v>UTILTS / Fel och svar</x:v>
      </x:c>
      <x:c r="C19" s="36"/>
      <x:c r="D19" s="36"/>
      <x:c r="E19" s="36" t="str">
        <x:v>Roller, kontrollordning och separata transaktionsutfall.</x:v>
      </x:c>
      <x:c r="F19" s="36"/>
      <x:c r="G19" s="36"/>
      <x:c r="H19" s="36"/>
    </x:row>
    <x:row r="20" ht="45" customHeight="1">
      <x:c r="A20" s="36" t="str">
        <x:v>5</x:v>
      </x:c>
      <x:c r="B20" s="36" t="str">
        <x:v>Tidsfrister / Tillståndsövergångar</x:v>
      </x:c>
      <x:c r="C20" s="36"/>
      <x:c r="D20" s="36"/>
      <x:c r="E20" s="36" t="str">
        <x:v>När nästa steg ska ske och vad som inte får automatiseras.</x:v>
      </x:c>
      <x:c r="F20" s="36"/>
      <x:c r="G20" s="36"/>
      <x:c r="H20" s="36"/>
    </x:row>
    <x:row r="21" ht="45" customHeight="1">
      <x:c r="A21" s="36" t="str">
        <x:v>6</x:v>
      </x:c>
      <x:c r="B21" s="36" t="str">
        <x:v>Anropsordning / Datamodell</x:v>
      </x:c>
      <x:c r="C21" s="36"/>
      <x:c r="D21" s="36"/>
      <x:c r="E21" s="36" t="str">
        <x:v>Befintliga ingångar, serverkontroller och tenant-/grantgränser.</x:v>
      </x:c>
      <x:c r="F21" s="36"/>
      <x:c r="G21" s="36"/>
      <x:c r="H21" s="36"/>
    </x:row>
    <x:row r="22" ht="45" customHeight="1">
      <x:c r="A22" s="36" t="str">
        <x:v>7</x:v>
      </x:c>
      <x:c r="B22" s="36" t="str">
        <x:v>Acceptanskontrakt / Öppna underlag</x:v>
      </x:c>
      <x:c r="C22" s="36"/>
      <x:c r="D22" s="36"/>
      <x:c r="E22" s="36" t="str">
        <x:v>Stäng ett krav först med rätt bevis; saknat underlag ska förbli synligt.</x:v>
      </x:c>
      <x:c r="F22" s="36"/>
      <x:c r="G22" s="36"/>
      <x:c r="H22" s="36"/>
    </x:row>
    <x:row r="24" ht="27" customHeight="1">
      <x:c r="A24" s="13" t="str">
        <x:v>ARKITEKTURGRÄNSER</x:v>
      </x:c>
      <x:c r="B24" s="13"/>
      <x:c r="C24" s="13"/>
      <x:c r="D24" s="13"/>
      <x:c r="E24" s="13"/>
      <x:c r="F24" s="13"/>
      <x:c r="G24" s="13"/>
      <x:c r="H24" s="13"/>
    </x:row>
    <x:row r="26" ht="35" customHeight="1">
      <x:c r="A26" s="36" t="str">
        <x:v>Tenant är en datagräns, inte automatiskt en juridisk Edielaktör.</x:v>
      </x:c>
      <x:c r="B26" s="36"/>
      <x:c r="C26" s="36"/>
      <x:c r="D26" s="36"/>
      <x:c r="E26" s="36"/>
      <x:c r="F26" s="36"/>
      <x:c r="G26" s="36"/>
      <x:c r="H26" s="36"/>
    </x:row>
    <x:row r="27" ht="35" customHeight="1">
      <x:c r="A27" s="36" t="str">
        <x:v>Egen marknadsaktör behåller egen identitet. Gemensam brevlåda ger inget automatiskt ombudsmandat.</x:v>
      </x:c>
      <x:c r="B27" s="36"/>
      <x:c r="C27" s="36"/>
      <x:c r="D27" s="36"/>
      <x:c r="E27" s="36"/>
      <x:c r="F27" s="36"/>
      <x:c r="G27" s="36"/>
      <x:c r="H27" s="36"/>
    </x:row>
    <x:row r="28" ht="35" customHeight="1">
      <x:c r="A28" s="36" t="str">
        <x:v>När P är juridisk ESCO för K: marknadstillstånd + serviceuppdrag + internt åtkomstgrant krävs.</x:v>
      </x:c>
      <x:c r="B28" s="36"/>
      <x:c r="C28" s="36"/>
      <x:c r="D28" s="36"/>
      <x:c r="E28" s="36"/>
      <x:c r="F28" s="36"/>
      <x:c r="G28" s="36"/>
      <x:c r="H28" s="36"/>
    </x:row>
    <x:row r="29" ht="35" customHeight="1">
      <x:c r="A29" s="36" t="str">
        <x:v>En upstream-mottagning kan ge flera behöriga projektioner, men inte en ny kvittens per intern mottagare.</x:v>
      </x:c>
      <x:c r="B29" s="36"/>
      <x:c r="C29" s="36"/>
      <x:c r="D29" s="36"/>
      <x:c r="E29" s="36"/>
      <x:c r="F29" s="36"/>
      <x:c r="G29" s="36"/>
      <x:c r="H29" s="36"/>
    </x:row>
    <x:row r="30" ht="35" customHeight="1">
      <x:c r="A30" s="36" t="str">
        <x:v>SMTP-acceptans, CONTRL, APERAK, affärsbekräftelse och leveransaktivering är olika tillstånd.</x:v>
      </x:c>
      <x:c r="B30" s="36"/>
      <x:c r="C30" s="36"/>
      <x:c r="D30" s="36"/>
      <x:c r="E30" s="36"/>
      <x:c r="F30" s="36"/>
      <x:c r="G30" s="36"/>
      <x:c r="H30" s="36"/>
    </x:row>
    <x:row r="31" ht="35" customHeight="1">
      <x:c r="A31" s="36" t="str">
        <x:v>Bevisgrindar stängs per berörd tenant, aktör, roll, version och kapabilitet — inte med ett gammalt globalt grönt statusfält.</x:v>
      </x:c>
      <x:c r="B31" s="36"/>
      <x:c r="C31" s="36"/>
      <x:c r="D31" s="36"/>
      <x:c r="E31" s="36"/>
      <x:c r="F31" s="36"/>
      <x:c r="G31" s="36"/>
      <x:c r="H31" s="36"/>
    </x:row>
    <x:row r="33" ht="24" customHeight="1">
      <x:c r="A33" s="30" t="str">
        <x:v>Dokumentintegritetskontrollen testar endast register, korsreferenser och förekomst av nödvändiga bilagor. Den kör inte Gridex, validerar inte EDIFACT mot en full konverterare och bevisar inte leverans till nätägare.</x:v>
      </x:c>
      <x:c r="B33" s="30"/>
      <x:c r="C33" s="30"/>
      <x:c r="D33" s="30"/>
      <x:c r="E33" s="30"/>
      <x:c r="F33" s="30"/>
      <x:c r="G33" s="30"/>
      <x:c r="H33" s="30"/>
    </x:row>
    <x:row r="34" ht="24" customHeight="1">
      <x:c r="A34" s="30"/>
      <x:c r="B34" s="30"/>
      <x:c r="C34" s="30"/>
      <x:c r="D34" s="30"/>
      <x:c r="E34" s="30"/>
      <x:c r="F34" s="30"/>
      <x:c r="G34" s="30"/>
      <x:c r="H34" s="30"/>
    </x:row>
    <x:row r="35" ht="24" customHeight="1">
      <x:c r="A35" s="30"/>
      <x:c r="B35" s="30"/>
      <x:c r="C35" s="30"/>
      <x:c r="D35" s="30"/>
      <x:c r="E35" s="30"/>
      <x:c r="F35" s="30"/>
      <x:c r="G35" s="30"/>
      <x:c r="H35" s="30"/>
    </x:row>
    <x:row r="37" ht="23" customHeight="1">
      <x:c r="A37" s="18" t="str">
        <x:v>Källor: nationella originalanvisningar, Elmarknadshandboken, registerexport samt tidigare kodgranskning av eb9a25b. Se Källregister och dokumentets käll-/bevisgrindar. Datum: 2026-09-10.</x:v>
      </x:c>
      <x:c r="B37" s="18"/>
      <x:c r="C37" s="18"/>
      <x:c r="D37" s="18"/>
      <x:c r="E37" s="18"/>
      <x:c r="F37" s="18"/>
      <x:c r="G37" s="18"/>
      <x:c r="H37" s="18"/>
    </x:row>
    <x:row r="38" ht="23" customHeight="1">
      <x:c r="A38" s="18"/>
      <x:c r="B38" s="18"/>
      <x:c r="C38" s="18"/>
      <x:c r="D38" s="18"/>
      <x:c r="E38" s="18"/>
      <x:c r="F38" s="18"/>
      <x:c r="G38" s="18"/>
      <x:c r="H38" s="18"/>
    </x:row>
  </x:sheetData>
  <x:mergeCells>
    <x:mergeCell ref="A1:H1"/>
    <x:mergeCell ref="A2:H3"/>
    <x:mergeCell ref="A5:H5"/>
    <x:mergeCell ref="A7:B7"/>
    <x:mergeCell ref="A8:B9"/>
    <x:mergeCell ref="C7:D7"/>
    <x:mergeCell ref="C8:D9"/>
    <x:mergeCell ref="E7:F7"/>
    <x:mergeCell ref="E8:F9"/>
    <x:mergeCell ref="G7:H7"/>
    <x:mergeCell ref="G8:H9"/>
    <x:mergeCell ref="A11:F12"/>
    <x:mergeCell ref="G11:H12"/>
    <x:mergeCell ref="A14:H14"/>
    <x:mergeCell ref="B16:D16"/>
    <x:mergeCell ref="E16:H16"/>
    <x:mergeCell ref="B17:D17"/>
    <x:mergeCell ref="E17:H17"/>
    <x:mergeCell ref="B18:D18"/>
    <x:mergeCell ref="E18:H18"/>
    <x:mergeCell ref="B19:D19"/>
    <x:mergeCell ref="E19:H19"/>
    <x:mergeCell ref="B20:D20"/>
    <x:mergeCell ref="E20:H20"/>
    <x:mergeCell ref="B21:D21"/>
    <x:mergeCell ref="E21:H21"/>
    <x:mergeCell ref="B22:D22"/>
    <x:mergeCell ref="E22:H22"/>
    <x:mergeCell ref="A24:H24"/>
    <x:mergeCell ref="A26:H26"/>
    <x:mergeCell ref="A27:H27"/>
    <x:mergeCell ref="A28:H28"/>
    <x:mergeCell ref="A29:H29"/>
    <x:mergeCell ref="A30:H30"/>
    <x:mergeCell ref="A31:H31"/>
    <x:mergeCell ref="A33:H35"/>
    <x:mergeCell ref="A37:H38"/>
  </x:mergeCells>
  <x:pageMargins left="0.7" right="0.7" top="0.75" bottom="0.75" header="0.3" footer="0.3"/>
</x:worksheet>
</file>

<file path=xl/worksheets/sheet2.xml><?xml version="1.0" encoding="utf-8"?>
<x:worksheet xmlns:x="http://schemas.openxmlformats.org/spreadsheetml/2006/main">
  <x:sheetFormatPr defaultRowHeight="15"/>
  <x:cols>
    <x:col min="1" max="1" width="15" hidden="0" customWidth="1"/>
    <x:col min="2" max="2" width="22" hidden="0" customWidth="1"/>
    <x:col min="3" max="3" width="22" hidden="0" customWidth="1"/>
    <x:col min="4" max="4" width="32" hidden="0" customWidth="1"/>
    <x:col min="5" max="5" width="34" hidden="0" customWidth="1"/>
    <x:col min="6" max="6" width="48" hidden="0" customWidth="1"/>
    <x:col min="7" max="7" width="48" hidden="0" customWidth="1"/>
    <x:col min="8" max="8" width="48" hidden="0" customWidth="1"/>
    <x:col min="9" max="9" width="34" hidden="0" customWidth="1"/>
    <x:col min="10" max="10" width="35" hidden="0" customWidth="1"/>
    <x:col min="11" max="11" width="42" hidden="0" customWidth="1"/>
    <x:col min="12" max="12" width="22" hidden="0" customWidth="1"/>
    <x:col min="13" max="13" width="22" hidden="0" customWidth="1"/>
    <x:col min="14" max="14" width="45" hidden="0" customWidth="1"/>
  </x:cols>
  <x:sheetData>
    <x:row r="1" ht="30" customHeight="1">
      <x:c r="A1" s="3" t="str">
        <x:v>Regelkort · Gridex Ediel v2</x:v>
      </x:c>
      <x:c r="B1" s="3"/>
      <x:c r="C1" s="3"/>
      <x:c r="D1" s="3"/>
      <x:c r="E1" s="3"/>
      <x:c r="F1" s="3"/>
      <x:c r="G1" s="3"/>
      <x:c r="H1" s="3"/>
      <x:c r="I1" s="3"/>
      <x:c r="J1" s="3"/>
      <x:c r="K1" s="3"/>
      <x:c r="L1" s="3"/>
      <x:c r="M1" s="3"/>
      <x:c r="N1" s="3"/>
    </x:row>
    <x:row r="2" ht="34" customHeight="1">
      <x:c r="A2" s="8" t="str">
        <x:v>121 regler: normkrav och intern arkitektur är åtskilda. Status avser implementation, inte dokumentets existens.</x:v>
      </x:c>
      <x:c r="B2" s="8"/>
      <x:c r="C2" s="8"/>
      <x:c r="D2" s="8"/>
      <x:c r="E2" s="8"/>
      <x:c r="F2" s="8"/>
      <x:c r="G2" s="8"/>
      <x:c r="H2" s="8"/>
      <x:c r="I2" s="8"/>
      <x:c r="J2" s="8"/>
      <x:c r="K2" s="8"/>
      <x:c r="L2" s="8"/>
      <x:c r="M2" s="8"/>
      <x:c r="N2" s="8"/>
    </x:row>
    <x:row r="4" ht="37" customHeight="1">
      <x:c r="A4" s="14" t="str">
        <x:v>Regel-id</x:v>
      </x:c>
      <x:c r="B4" s="14" t="str">
        <x:v>Område</x:v>
      </x:c>
      <x:c r="C4" s="14" t="str">
        <x:v>Kravtyp</x:v>
      </x:c>
      <x:c r="D4" s="14" t="str">
        <x:v>Omfattning</x:v>
      </x:c>
      <x:c r="E4" s="14" t="str">
        <x:v>När</x:v>
      </x:c>
      <x:c r="F4" s="14" t="str">
        <x:v>Villkor</x:v>
      </x:c>
      <x:c r="G4" s="14" t="str">
        <x:v>Vid godkänt</x:v>
      </x:c>
      <x:c r="H4" s="14" t="str">
        <x:v>Vid fel / saknat underlag</x:v>
      </x:c>
      <x:c r="I4" s="14" t="str">
        <x:v>Ansvarig modul</x:v>
      </x:c>
      <x:c r="J4" s="14" t="str">
        <x:v>Källa / avsnitt</x:v>
      </x:c>
      <x:c r="K4" s="14" t="str">
        <x:v>Aktiveringsgrind</x:v>
      </x:c>
      <x:c r="L4" s="14" t="str">
        <x:v>Implementationsstatus</x:v>
      </x:c>
      <x:c r="M4" s="14" t="str">
        <x:v>Acceptans-id</x:v>
      </x:c>
      <x:c r="N4" s="14" t="str">
        <x:v>Källplats</x:v>
      </x:c>
    </x:row>
    <x:row r="5" ht="50.400001525878906" customHeight="1">
      <x:c r="A5" s="19" t="str">
        <x:v>GOV-01</x:v>
      </x:c>
      <x:c r="B5" s="19" t="str">
        <x:v>Källstyrning</x:v>
      </x:c>
      <x:c r="C5" s="19" t="str">
        <x:v>Intern arkitektur</x:v>
      </x:c>
      <x:c r="D5" s="19" t="str">
        <x:v>Alla profiler</x:v>
      </x:c>
      <x:c r="E5" s="19" t="str">
        <x:v>Publicering av regelpaket</x:v>
      </x:c>
      <x:c r="F5" s="19" t="str">
        <x:v>Varje normativ regel har dokumenthash, version/revision, sida/avsnitt, giltighet och exakt omfattning.</x:v>
      </x:c>
      <x:c r="G5" s="19" t="str">
        <x:v>Publicera immutabel regelversion med granskningsspår.</x:v>
      </x:c>
      <x:c r="H5" s="19" t="str">
        <x:v>Ej styrkt regel ska inte generera nya externa meddelanden eller påhittade felkoder.</x:v>
      </x:c>
      <x:c r="I5" s="19" t="str">
        <x:v>guideRegistry / canonicalRulePackRegistry</x:v>
      </x:c>
      <x:c r="J5" s="19" t="str">
        <x:v>T §1.2,1.4; P §1.3</x:v>
      </x:c>
      <x:c r="K5" s="19" t="str">
        <x:v>Implementering och beteendeprov krävs; inte produktionsgodkänt av detta dokument.</x:v>
      </x:c>
      <x:c r="L5" s="19" t="str">
        <x:v>Ej verifierad</x:v>
      </x:c>
      <x:c r="M5" s="19" t="str">
        <x:v>AT-GOV-01</x:v>
      </x:c>
      <x:c r="N5" s="19" t="str">
        <x:v>https://www.ediel.se/Info/edielanvisningar</x:v>
      </x:c>
    </x:row>
    <x:row r="6" ht="50.400001525878906" customHeight="1">
      <x:c r="A6" s="19" t="str">
        <x:v>GOV-02</x:v>
      </x:c>
      <x:c r="B6" s="19" t="str">
        <x:v>Källstyrning</x:v>
      </x:c>
      <x:c r="C6" s="19" t="str">
        <x:v>Ediel/Handbok</x:v>
      </x:c>
      <x:c r="D6" s="19" t="str">
        <x:v>PRODAT</x:v>
      </x:c>
      <x:c r="E6" s="19" t="str">
        <x:v>Komposition av fältprofil</x:v>
      </x:c>
      <x:c r="F6" s="19" t="str">
        <x:v>P §2.2 har företräde framför motstridiga bilaga4-villkor; första register och register2+ har skilda regler.</x:v>
      </x:c>
      <x:c r="G6" s="19" t="str">
        <x:v>Tillämpa basprofil + subtype + parent + registeroverlay.</x:v>
      </x:c>
      <x:c r="H6" s="19" t="str">
        <x:v>Ingen automatisk kopiering av gamla bilaga4-koder eller bas-R till alla register.</x:v>
      </x:c>
      <x:c r="I6" s="19" t="str">
        <x:v>canonicalPolicyFieldValidator / prodat26AFieldMatrix</x:v>
      </x:c>
      <x:c r="J6" s="19" t="str">
        <x:v>P §2.2 s.15; bilaga2</x:v>
      </x:c>
      <x:c r="K6" s="19" t="str">
        <x:v>Implementering och beteendeprov krävs; inte produktionsgodkänt av detta dokument.</x:v>
      </x:c>
      <x:c r="L6" s="19" t="str">
        <x:v>Ej verifierad</x:v>
      </x:c>
      <x:c r="M6" s="19" t="str">
        <x:v>AT-GOV-02</x:v>
      </x:c>
      <x:c r="N6" s="19" t="str">
        <x:v>https://www.ediel.se/Info/edielanvisningar</x:v>
      </x:c>
    </x:row>
    <x:row r="7" ht="50.400001525878906" customHeight="1">
      <x:c r="A7" s="19" t="str">
        <x:v>GOV-03</x:v>
      </x:c>
      <x:c r="B7" s="19" t="str">
        <x:v>Källstyrning</x:v>
      </x:c>
      <x:c r="C7" s="19" t="str">
        <x:v>Ediel/Handbok</x:v>
      </x:c>
      <x:c r="D7" s="19" t="str">
        <x:v>PRODAT/AP/UTILTS</x:v>
      </x:c>
      <x:c r="E7" s="19" t="str">
        <x:v>Val av guide</x:v>
      </x:c>
      <x:c r="F7" s="19" t="str">
        <x:v>Elprofil26.A och tillhörande APERAK skiljs från gasprofil16.B; generisk AP05.B.5 ersätter inte P-/U-specifika APERAK.</x:v>
      </x:c>
      <x:c r="G7" s="19" t="str">
        <x:v>Välj APERAK enligt ursprungsfamilj och dess guide.</x:v>
      </x:c>
      <x:c r="H7" s="19" t="str">
        <x:v>Stoppa sammanblandad wireversion; ingen generell APERAK16.B-profil för EL.</x:v>
      </x:c>
      <x:c r="I7" s="19" t="str">
        <x:v>guideRegistry / acknowledgement-profile selector</x:v>
      </x:c>
      <x:c r="J7" s="19" t="str">
        <x:v>T §1.5,2.2; P omslag; AP §1.2</x:v>
      </x:c>
      <x:c r="K7" s="19" t="str">
        <x:v>Implementering och beteendeprov krävs; inte produktionsgodkänt av detta dokument.</x:v>
      </x:c>
      <x:c r="L7" s="19" t="str">
        <x:v>Ej verifierad</x:v>
      </x:c>
      <x:c r="M7" s="19" t="str">
        <x:v>AT-GOV-03</x:v>
      </x:c>
      <x:c r="N7" s="19" t="str">
        <x:v>https://www.ediel.se/Info/edielanvisningar</x:v>
      </x:c>
    </x:row>
    <x:row r="8" ht="50.400001525878906" customHeight="1">
      <x:c r="A8" s="19" t="str">
        <x:v>GOV-04</x:v>
      </x:c>
      <x:c r="B8" s="19" t="str">
        <x:v>Versioner</x:v>
      </x:c>
      <x:c r="C8" s="19" t="str">
        <x:v>Ediel/Handbok</x:v>
      </x:c>
      <x:c r="D8" s="19" t="str">
        <x:v>Utgående meddelande och omsändning</x:v>
      </x:c>
      <x:c r="E8" s="19" t="str">
        <x:v>Före varje extern sändning</x:v>
      </x:c>
      <x:c r="F8" s="19" t="str">
        <x:v>Använd då gällande anvisning; avvikande omsändning endast där giltig bilateral överenskommelse tillåter.</x:v>
      </x:c>
      <x:c r="G8" s="19" t="str">
        <x:v>Ny prövning efter versionsgräns; behåll tidigare payload och beslut som historik.</x:v>
      </x:c>
      <x:c r="H8" s="19" t="str">
        <x:v>Skicka inte gammal köpayload med ny versionsetikett.</x:v>
      </x:c>
      <x:c r="I8" s="19" t="str">
        <x:v>pre-send policy gate</x:v>
      </x:c>
      <x:c r="J8" s="19" t="str">
        <x:v>T §1.4 s.4</x:v>
      </x:c>
      <x:c r="K8" s="19" t="str">
        <x:v>Implementering och beteendeprov krävs; inte produktionsgodkänt av detta dokument.</x:v>
      </x:c>
      <x:c r="L8" s="19" t="str">
        <x:v>Ej verifierad</x:v>
      </x:c>
      <x:c r="M8" s="19" t="str">
        <x:v>AT-GOV-04</x:v>
      </x:c>
      <x:c r="N8" s="19" t="str">
        <x:v>https://www.ediel.se/Info/edielanvisningar</x:v>
      </x:c>
    </x:row>
    <x:row r="9" ht="50.400001525878906" customHeight="1">
      <x:c r="A9" s="19" t="str">
        <x:v>GOV-05</x:v>
      </x:c>
      <x:c r="B9" s="19" t="str">
        <x:v>Versioner</x:v>
      </x:c>
      <x:c r="C9" s="19" t="str">
        <x:v>Ediel/Handbok</x:v>
      </x:c>
      <x:c r="D9" s="19" t="str">
        <x:v>Mottagning</x:v>
      </x:c>
      <x:c r="E9" s="19" t="str">
        <x:v>Ny anvisning börjar gälla</x:v>
      </x:c>
      <x:c r="F9" s="19" t="str">
        <x:v>Hantera närmast föregående giltiga anvisning under tvåveckorsövergång, med hänsyn till överordnade regler.</x:v>
      </x:c>
      <x:c r="G9" s="19" t="str">
        <x:v>Använd ett komplett kompatibelt regelpaket per prövning, logga vald tolkning.</x:v>
      </x:c>
      <x:c r="H9" s="19" t="str">
        <x:v>Plocka inte gynnsamma enstaka kontroller från olika versioner; samma UNH-kod är inte revisionsbevis.</x:v>
      </x:c>
      <x:c r="I9" s="19" t="str">
        <x:v>guideRegistry / runtimeDecision</x:v>
      </x:c>
      <x:c r="J9" s="19" t="str">
        <x:v>T §1.4; U/UE omslag</x:v>
      </x:c>
      <x:c r="K9" s="19" t="str">
        <x:v>Implementering och beteendeprov krävs; inte produktionsgodkänt av detta dokument.</x:v>
      </x:c>
      <x:c r="L9" s="19" t="str">
        <x:v>Ej verifierad</x:v>
      </x:c>
      <x:c r="M9" s="19" t="str">
        <x:v>AT-GOV-05</x:v>
      </x:c>
      <x:c r="N9" s="19" t="str">
        <x:v>https://www.ediel.se/Info/edielanvisningar</x:v>
      </x:c>
    </x:row>
    <x:row r="10" ht="50.400001525878906" customHeight="1">
      <x:c r="A10" s="19" t="str">
        <x:v>GOV-06</x:v>
      </x:c>
      <x:c r="B10" s="19" t="str">
        <x:v>Versioner</x:v>
      </x:c>
      <x:c r="C10" s="19" t="str">
        <x:v>Intern arkitektur</x:v>
      </x:c>
      <x:c r="D10" s="19" t="str">
        <x:v>UTILTS</x:v>
      </x:c>
      <x:c r="E10" s="19" t="str">
        <x:v>Gemensam runtimevalidering</x:v>
      </x:c>
      <x:c r="F10" s="19" t="str">
        <x:v>Format-/övergångstid, dokumentdatum, leveransperiod och replaytid är separata tidsbegrepp som beslutet bär.</x:v>
      </x:c>
      <x:c r="G10" s="19" t="str">
        <x:v>För explicit versionsbeslut till utiltsEngine; inget nytt implicit now().</x:v>
      </x:c>
      <x:c r="H10" s="19" t="str">
        <x:v>Avvisa lokalt osammanhängande beslut före mutation; inte externt fältfel om orsaken är egen kod.</x:v>
      </x:c>
      <x:c r="I10" s="19" t="str">
        <x:v>runtimeDecision → utiltsEngine</x:v>
      </x:c>
      <x:c r="J10" s="19" t="str">
        <x:v>CODE canonicalEdielPolicy/runtimeDecision; SYS</x:v>
      </x:c>
      <x:c r="K10" s="19" t="str">
        <x:v>Implementering och beteendeprov krävs; inte produktionsgodkänt av detta dokument.</x:v>
      </x:c>
      <x:c r="L10" s="19" t="str">
        <x:v>Ej verifierad</x:v>
      </x:c>
      <x:c r="M10" s="19" t="str">
        <x:v>AT-GOV-06</x:v>
      </x:c>
      <x:c r="N10" s="19" t="str">
        <x:v>Se källregister och lokala bilagor i v2-paketet</x:v>
      </x:c>
    </x:row>
    <x:row r="11" ht="50.400001525878906" customHeight="1">
      <x:c r="A11" s="19" t="str">
        <x:v>GOV-07</x:v>
      </x:c>
      <x:c r="B11" s="19" t="str">
        <x:v>Framtida regler</x:v>
      </x:c>
      <x:c r="C11" s="19" t="str">
        <x:v>Ediel/Handbok</x:v>
      </x:c>
      <x:c r="D11" s="19" t="str">
        <x:v>Energidelning/2027-förslag</x:v>
      </x:c>
      <x:c r="E11" s="19" t="str">
        <x:v>Kapabilitet aktiveras</x:v>
      </x:c>
      <x:c r="F11" s="19" t="str">
        <x:v>P §2.3 anger användning från 2027-01-01; S18 ej, endast15min och produktion; framtida nya koder är inte antagna.</x:v>
      </x:c>
      <x:c r="G11" s="19" t="str">
        <x:v>Håll egen framtida profil avstängd före datum och före separata legala/processuella verifieringar.</x:v>
      </x:c>
      <x:c r="H11" s="19" t="str">
        <x:v>Ingen aktivering bara för att PDF är publicerad.</x:v>
      </x:c>
      <x:c r="I11" s="19" t="str">
        <x:v>capability registry / guideRegistry</x:v>
      </x:c>
      <x:c r="J11" s="19" t="str">
        <x:v>P §2.3 s.35; P/U inledning</x:v>
      </x:c>
      <x:c r="K11" s="19" t="str">
        <x:v>Implementering och beteendeprov krävs; inte produktionsgodkänt av detta dokument.</x:v>
      </x:c>
      <x:c r="L11" s="19" t="str">
        <x:v>Ej verifierad</x:v>
      </x:c>
      <x:c r="M11" s="19" t="str">
        <x:v>AT-GOV-07</x:v>
      </x:c>
      <x:c r="N11" s="19" t="str">
        <x:v>https://www.ediel.se/Info/edielanvisningar</x:v>
      </x:c>
    </x:row>
    <x:row r="12" ht="50.400001525878906" customHeight="1">
      <x:c r="A12" s="19" t="str">
        <x:v>GOV-08</x:v>
      </x:c>
      <x:c r="B12" s="19" t="str">
        <x:v>Testdata</x:v>
      </x:c>
      <x:c r="C12" s="19" t="str">
        <x:v>Intern arkitektur</x:v>
      </x:c>
      <x:c r="D12" s="19" t="str">
        <x:v>Referenser och TGT</x:v>
      </x:c>
      <x:c r="E12" s="19" t="str">
        <x:v>Inför acceptanstest</x:v>
      </x:c>
      <x:c r="F12" s="19" t="str">
        <x:v>Knyt originalfilhash till källa, testfall, revision, roll och förväntat positivt/negativt resultat.</x:v>
      </x:c>
      <x:c r="G12" s="19" t="str">
        <x:v>Bevara negativa referenser som negativa; dokumentera konflikt.</x:v>
      </x:c>
      <x:c r="H12" s="19" t="str">
        <x:v>Ändra inte referensen för att passa egen renderer.</x:v>
      </x:c>
      <x:c r="I12" s="19" t="str">
        <x:v>test fixtures / source inventory</x:v>
      </x:c>
      <x:c r="J12" s="19" t="str">
        <x:v>P §1.3; U §1.5; TGT lista</x:v>
      </x:c>
      <x:c r="K12" s="19" t="str">
        <x:v>Implementering och beteendeprov krävs; inte produktionsgodkänt av detta dokument.</x:v>
      </x:c>
      <x:c r="L12" s="19" t="str">
        <x:v>Ej verifierad</x:v>
      </x:c>
      <x:c r="M12" s="19" t="str">
        <x:v>AT-GOV-08</x:v>
      </x:c>
      <x:c r="N12" s="19" t="str">
        <x:v>https://www.ediel.se/Info/edielanvisningar</x:v>
      </x:c>
    </x:row>
    <x:row r="13" ht="50.400001525878906" customHeight="1">
      <x:c r="A13" s="19" t="str">
        <x:v>TEN-01</x:v>
      </x:c>
      <x:c r="B13" s="19" t="str">
        <x:v>Tenant och aktör</x:v>
      </x:c>
      <x:c r="C13" s="19" t="str">
        <x:v>Intern arkitektur</x:v>
      </x:c>
      <x:c r="D13" s="19" t="str">
        <x:v>Alla affärsoperationer</x:v>
      </x:c>
      <x:c r="E13" s="19" t="str">
        <x:v>Command skapas eller meddelande attribueras</x:v>
      </x:c>
      <x:c r="F13" s="19" t="str">
        <x:v>Tenant, juridisk aktör, operativ roll och teknisk identitet är olika typer.</x:v>
      </x:c>
      <x:c r="G13" s="19" t="str">
        <x:v>Skapa verifierat execution context före kundmutation.</x:v>
      </x:c>
      <x:c r="H13" s="19" t="str">
        <x:v>Tenantens namn/domän/mejl får inte ersätta marknadsidentitet.</x:v>
      </x:c>
      <x:c r="I13" s="19" t="str">
        <x:v>authorizeEdielContext (föreslaget lager)</x:v>
      </x:c>
      <x:c r="J13" s="19" t="str">
        <x:v>SYS; T §5</x:v>
      </x:c>
      <x:c r="K13" s="19" t="str">
        <x:v>Implementering och beteendeprov krävs; inte produktionsgodkänt av detta dokument.</x:v>
      </x:c>
      <x:c r="L13" s="19" t="str">
        <x:v>Ej verifierad</x:v>
      </x:c>
      <x:c r="M13" s="19" t="str">
        <x:v>AT-TEN-01</x:v>
      </x:c>
      <x:c r="N13" s="19" t="str">
        <x:v>https://www.ediel.se/Info/edielanvisningar</x:v>
      </x:c>
    </x:row>
    <x:row r="14" ht="50.400001525878906" customHeight="1">
      <x:c r="A14" s="19" t="str">
        <x:v>TEN-02</x:v>
      </x:c>
      <x:c r="B14" s="19" t="str">
        <x:v>Egen marknadsidentitet</x:v>
      </x:c>
      <x:c r="C14" s="19" t="str">
        <x:v>Intern arkitektur</x:v>
      </x:c>
      <x:c r="D14" s="19" t="str">
        <x:v>Tenant med egen leverantör/ESCO</x:v>
      </x:c>
      <x:c r="E14" s="19" t="str">
        <x:v>Utgående/inkommande trafik</x:v>
      </x:c>
      <x:c r="F14" s="19" t="str">
        <x:v>Tenantens verifierade juridiska Ediel-id används; gemensam brevlåda är en transportegenskap.</x:v>
      </x:c>
      <x:c r="G14" s="19" t="str">
        <x:v>Bevara befintligt beslut om egna Ediel-id; separata aktörsprofiler för DDQ/DGI.</x:v>
      </x:c>
      <x:c r="H14" s="19" t="str">
        <x:v>Byt inte alla till Gridex-id eller registrera tekniskt ombud automatiskt.</x:v>
      </x:c>
      <x:c r="I14" s="19" t="str">
        <x:v>tenant actor registry / route resolver</x:v>
      </x:c>
      <x:c r="J14" s="19" t="str">
        <x:v>Användarbeslut; T §5</x:v>
      </x:c>
      <x:c r="K14" s="19" t="str">
        <x:v>Implementering och beteendeprov krävs; inte produktionsgodkänt av detta dokument.</x:v>
      </x:c>
      <x:c r="L14" s="19" t="str">
        <x:v>Ej verifierad</x:v>
      </x:c>
      <x:c r="M14" s="19" t="str">
        <x:v>AT-TEN-02</x:v>
      </x:c>
      <x:c r="N14" s="19" t="str">
        <x:v>https://www.ediel.se/Info/edielanvisningar</x:v>
      </x:c>
    </x:row>
    <x:row r="15" ht="50.400001525878906" customHeight="1">
      <x:c r="A15" s="19" t="str">
        <x:v>TEN-03</x:v>
      </x:c>
      <x:c r="B15" s="19" t="str">
        <x:v>ESCO för andra tenants</x:v>
      </x:c>
      <x:c r="C15" s="19" t="str">
        <x:v>Intern arkitektur</x:v>
      </x:c>
      <x:c r="D15" s="19" t="str">
        <x:v>Gridex är legal ESCO åt beneficiary tenant</x:v>
      </x:c>
      <x:c r="E15" s="19" t="str">
        <x:v>Z13 beställs av annan tenant</x:v>
      </x:c>
      <x:c r="F15" s="19" t="str">
        <x:v>Operating tenant/actor=ESCO-leverantören; beneficiary tenant uttrycklig; kund- och DSO-avtal ger marknadsgrund.</x:v>
      </x:c>
      <x:c r="G15" s="19" t="str">
        <x:v>Z13 sänds i den verkliga ESCO-aktörens DGI-roll, utan interna tenant-id i EDIFACT.</x:v>
      </x:c>
      <x:c r="H15" s="19" t="str">
        <x:v>SaaS-avtal/ägande av plattformen ger inte mätvärdestillstånd.</x:v>
      </x:c>
      <x:c r="I15" s="19" t="str">
        <x:v>service_assignment + permission command</x:v>
      </x:c>
      <x:c r="J15" s="19" t="str">
        <x:v>HB kap.11; SYS</x:v>
      </x:c>
      <x:c r="K15" s="19" t="str">
        <x:v>Implementering och beteendeprov krävs; inte produktionsgodkänt av detta dokument.</x:v>
      </x:c>
      <x:c r="L15" s="19" t="str">
        <x:v>Ej verifierad</x:v>
      </x:c>
      <x:c r="M15" s="19" t="str">
        <x:v>AT-TEN-03</x:v>
      </x:c>
      <x:c r="N15" s="19" t="str">
        <x:v>https://www.elmarknadshandboken.se/Dokumentation/Texter/NEMHB.pdf</x:v>
      </x:c>
    </x:row>
    <x:row r="16" ht="50.400001525878906" customHeight="1">
      <x:c r="A16" s="19" t="str">
        <x:v>TEN-04</x:v>
      </x:c>
      <x:c r="B16" s="19" t="str">
        <x:v>Tekniskt ombud</x:v>
      </x:c>
      <x:c r="C16" s="19" t="str">
        <x:v>Ediel/Handbok</x:v>
      </x:c>
      <x:c r="D16" s="19" t="str">
        <x:v>Verkligt registrerat ombudsförhållande</x:v>
      </x:c>
      <x:c r="E16" s="19" t="str">
        <x:v>Adressmatchning</x:v>
      </x:c>
      <x:c r="F16" s="19" t="str">
        <x:v>InterchangePartyId och juridisk PartyId bevaras var för sig; stöd endast uttryckligen dokumenterad relation.</x:v>
      </x:c>
      <x:c r="G16" s="19" t="str">
        <x:v>Routa tekniskt via ombud utan att byta juridisk aktör.</x:v>
      </x:c>
      <x:c r="H16" s="19" t="str">
        <x:v>Tvinga inte teknisk==juridisk; anta inte att delad SMTP betyder ombudsmandat.</x:v>
      </x:c>
      <x:c r="I16" s="19" t="str">
        <x:v>registry importer / route resolver</x:v>
      </x:c>
      <x:c r="J16" s="19" t="str">
        <x:v>T §5; companies.xml</x:v>
      </x:c>
      <x:c r="K16" s="19" t="str">
        <x:v>Implementering och beteendeprov krävs; inte produktionsgodkänt av detta dokument.</x:v>
      </x:c>
      <x:c r="L16" s="19" t="str">
        <x:v>Ej verifierad</x:v>
      </x:c>
      <x:c r="M16" s="19" t="str">
        <x:v>AT-TEN-04</x:v>
      </x:c>
      <x:c r="N16" s="19" t="str">
        <x:v>https://www.ediel.se/Info/edielanvisningar</x:v>
      </x:c>
    </x:row>
    <x:row r="17" ht="50.400001525878906" customHeight="1">
      <x:c r="A17" s="19" t="str">
        <x:v>TEN-05</x:v>
      </x:c>
      <x:c r="B17" s="19" t="str">
        <x:v>Separata verksamhetsroller</x:v>
      </x:c>
      <x:c r="C17" s="19" t="str">
        <x:v>Ediel/Handbok</x:v>
      </x:c>
      <x:c r="D17" s="19" t="str">
        <x:v>Aktör både DDQ och DGI</x:v>
      </x:c>
      <x:c r="E17" s="19" t="str">
        <x:v>Varje affärshändelse</x:v>
      </x:c>
      <x:c r="F17" s="19" t="str">
        <x:v>Roll bestäms av affärsprocess, inte globalt standardfält.</x:v>
      </x:c>
      <x:c r="G17" s="19" t="str">
        <x:v>23-DDQ-PRODAT för leverantörsprocess;23-DGI-PRODAT för tillståndsprocess.</x:v>
      </x:c>
      <x:c r="H17" s="19" t="str">
        <x:v>Z14 får inte aktivera leverans; Z04 ger inte generellt ESCO-tillstånd.</x:v>
      </x:c>
      <x:c r="I17" s="19" t="str">
        <x:v>policy context / prodat application reference</x:v>
      </x:c>
      <x:c r="J17" s="19" t="str">
        <x:v>T §5.2.3; P §2.1; SYS</x:v>
      </x:c>
      <x:c r="K17" s="19" t="str">
        <x:v>Implementering och beteendeprov krävs; inte produktionsgodkänt av detta dokument.</x:v>
      </x:c>
      <x:c r="L17" s="19" t="str">
        <x:v>Ej verifierad</x:v>
      </x:c>
      <x:c r="M17" s="19" t="str">
        <x:v>AT-TEN-05</x:v>
      </x:c>
      <x:c r="N17" s="19" t="str">
        <x:v>https://www.ediel.se/Info/edielanvisningar</x:v>
      </x:c>
    </x:row>
    <x:row r="18" ht="50.400001525878906" customHeight="1">
      <x:c r="A18" s="19" t="str">
        <x:v>TEN-06</x:v>
      </x:c>
      <x:c r="B18" s="19" t="str">
        <x:v>Delad brevlåda</x:v>
      </x:c>
      <x:c r="C18" s="19" t="str">
        <x:v>Intern arkitektur</x:v>
      </x:c>
      <x:c r="D18" s="19" t="str">
        <x:v>Inkommande EDIFACT</x:v>
      </x:c>
      <x:c r="E18" s="19" t="str">
        <x:v>Efter säker MIME-/syntaxklassificering</x:v>
      </x:c>
      <x:c r="F18" s="19" t="str">
        <x:v>Attribuera teknisk mottagare, juridisk mottagare, roll/marknad och ursprungssammanhang där sådant finns.</x:v>
      </x:c>
      <x:c r="G18" s="19" t="str">
        <x:v>Identifiera en juridiskt ansvarig aktör; därifrån korrekt tenant-/servicekontext.</x:v>
      </x:c>
      <x:c r="H18" s="19" t="str">
        <x:v>Oklar attribution hålls i skyddad karantän; ingen gissad tenant från kund-id.</x:v>
      </x:c>
      <x:c r="I18" s="19" t="str">
        <x:v>inbound actor resolver</x:v>
      </x:c>
      <x:c r="J18" s="19" t="str">
        <x:v>T §5; SYS</x:v>
      </x:c>
      <x:c r="K18" s="19" t="str">
        <x:v>Implementering och beteendeprov krävs; inte produktionsgodkänt av detta dokument.</x:v>
      </x:c>
      <x:c r="L18" s="19" t="str">
        <x:v>Ej verifierad</x:v>
      </x:c>
      <x:c r="M18" s="19" t="str">
        <x:v>AT-TEN-06</x:v>
      </x:c>
      <x:c r="N18" s="19" t="str">
        <x:v>https://www.ediel.se/Info/edielanvisningar</x:v>
      </x:c>
    </x:row>
    <x:row r="19" ht="50.400001525878906" customHeight="1">
      <x:c r="A19" s="19" t="str">
        <x:v>TEN-07</x:v>
      </x:c>
      <x:c r="B19" s="19" t="str">
        <x:v>Transaktionsvis åtkomst</x:v>
      </x:c>
      <x:c r="C19" s="19" t="str">
        <x:v>Intern arkitektur</x:v>
      </x:c>
      <x:c r="D19" s="19" t="str">
        <x:v>Flera objekt/meddelanden i fil</x:v>
      </x:c>
      <x:c r="E19" s="19" t="str">
        <x:v>Efter juridisk mottagarattribution</x:v>
      </x:c>
      <x:c r="F19" s="19" t="str">
        <x:v>Varje nyttig datadel matchas mot tillstånd och serviceuppdrag; transportkuvert och affärsgrants är inte samma omfattning.</x:v>
      </x:c>
      <x:c r="G19" s="19" t="str">
        <x:v>Ägaraktören behåller råfil; beneficiaries ser bara tillåtna objekt/perioder/fält.</x:v>
      </x:c>
      <x:c r="H19" s="19" t="str">
        <x:v>Ge inte hela EML/filen till en tenant som bara har rätt till en transaktion.</x:v>
      </x:c>
      <x:c r="I19" s="19" t="str">
        <x:v>inbox → access projections</x:v>
      </x:c>
      <x:c r="J19" s="19" t="str">
        <x:v>SYS</x:v>
      </x:c>
      <x:c r="K19" s="19" t="str">
        <x:v>Implementering och beteendeprov krävs; inte produktionsgodkänt av detta dokument.</x:v>
      </x:c>
      <x:c r="L19" s="19" t="str">
        <x:v>Ej verifierad</x:v>
      </x:c>
      <x:c r="M19" s="19" t="str">
        <x:v>AT-TEN-07</x:v>
      </x:c>
      <x:c r="N19" s="19" t="str">
        <x:v>Se källregister och lokala bilagor i v2-paketet</x:v>
      </x:c>
    </x:row>
    <x:row r="20" ht="50.400001525878906" customHeight="1">
      <x:c r="A20" s="19" t="str">
        <x:v>TEN-08</x:v>
      </x:c>
      <x:c r="B20" s="19" t="str">
        <x:v>Grantstyrd fan-out</x:v>
      </x:c>
      <x:c r="C20" s="19" t="str">
        <x:v>Intern arkitektur</x:v>
      </x:c>
      <x:c r="D20" s="19" t="str">
        <x:v>En ESCO-mätserie har flera giltiga mottagartenants</x:v>
      </x:c>
      <x:c r="E20" s="19" t="str">
        <x:v>Efter accepterad lagring</x:v>
      </x:c>
      <x:c r="F20" s="19" t="str">
        <x:v>Separata data_access_grants för varje beneficiary, ändamål, objekt, produkt och tidsintervall.</x:v>
      </x:c>
      <x:c r="G20" s="19" t="str">
        <x:v>En marknadsmottagning och kvittens; därefter separat intern distribution per giltigt grant.</x:v>
      </x:c>
      <x:c r="H20" s="19" t="str">
        <x:v>Ingen automatisk kopiering till alla tenants med samma GSRN.</x:v>
      </x:c>
      <x:c r="I20" s="19" t="str">
        <x:v>grant evaluator / projections</x:v>
      </x:c>
      <x:c r="J20" s="19" t="str">
        <x:v>HB kap.11; SYS</x:v>
      </x:c>
      <x:c r="K20" s="19" t="str">
        <x:v>Implementering och beteendeprov krävs; inte produktionsgodkänt av detta dokument.</x:v>
      </x:c>
      <x:c r="L20" s="19" t="str">
        <x:v>Ej verifierad</x:v>
      </x:c>
      <x:c r="M20" s="19" t="str">
        <x:v>AT-TEN-08</x:v>
      </x:c>
      <x:c r="N20" s="19" t="str">
        <x:v>https://www.elmarknadshandboken.se/Dokumentation/Texter/NEMHB.pdf</x:v>
      </x:c>
    </x:row>
    <x:row r="21" ht="50.400001525878906" customHeight="1">
      <x:c r="A21" s="19" t="str">
        <x:v>TEN-09</x:v>
      </x:c>
      <x:c r="B21" s="19" t="str">
        <x:v>Överlappande ESCO-uppdrag</x:v>
      </x:c>
      <x:c r="C21" s="19" t="str">
        <x:v>Intern arkitektur</x:v>
      </x:c>
      <x:c r="D21" s="19" t="str">
        <x:v>Samma legal ESCO/kund/DSO</x:v>
      </x:c>
      <x:c r="E21" s="19" t="str">
        <x:v>Ny begäran eller uppsägning</x:v>
      </x:c>
      <x:c r="F21" s="19" t="str">
        <x:v>Koordinera market_permission över serviceuppdrag; beneficiary-id är inte en ny marknadsaktör.</x:v>
      </x:c>
      <x:c r="G21" s="19" t="str">
        <x:v>Återanvänd enbart rättsligt och semantiskt kompatibelt tillstånd; håll uppdragsgrants separata.</x:v>
      </x:c>
      <x:c r="H21" s="19" t="str">
        <x:v>En tenant får inte starta dubblett-Z13 eller avsluta delat tillstånd för andra.</x:v>
      </x:c>
      <x:c r="I21" s="19" t="str">
        <x:v>ESCO coordinator</x:v>
      </x:c>
      <x:c r="J21" s="19" t="str">
        <x:v>HB kap.11; SYS</x:v>
      </x:c>
      <x:c r="K21" s="19" t="str">
        <x:v>Implementering och beteendeprov krävs; inte produktionsgodkänt av detta dokument.</x:v>
      </x:c>
      <x:c r="L21" s="19" t="str">
        <x:v>Ej verifierad</x:v>
      </x:c>
      <x:c r="M21" s="19" t="str">
        <x:v>AT-TEN-09</x:v>
      </x:c>
      <x:c r="N21" s="19" t="str">
        <x:v>https://www.elmarknadshandboken.se/Dokumentation/Texter/NEMHB.pdf</x:v>
      </x:c>
    </x:row>
    <x:row r="22" ht="50.400001525878906" customHeight="1">
      <x:c r="A22" s="19" t="str">
        <x:v>TEN-10</x:v>
      </x:c>
      <x:c r="B22" s="19" t="str">
        <x:v>Återkallelse</x:v>
      </x:c>
      <x:c r="C22" s="19" t="str">
        <x:v>Intern arkitektur</x:v>
      </x:c>
      <x:c r="D22" s="19" t="str">
        <x:v>Market permission eller internt grant ändras</x:v>
      </x:c>
      <x:c r="E22" s="19" t="str">
        <x:v>API-läsning, export och jobbverkställighet</x:v>
      </x:c>
      <x:c r="F22" s="19" t="str">
        <x:v>Åtkomst prövas mot aktuella grantversioner; marknadsslut och intern tenantåterkallelse olika händelser.</x:v>
      </x:c>
      <x:c r="G22" s="19" t="str">
        <x:v>Stoppa framtida otillåten användning; bevara tillåten historik/audit enligt lagringspolicy.</x:v>
      </x:c>
      <x:c r="H22" s="19" t="str">
        <x:v>Ingen återaktivering av återkallat beneficiary-grant bara för att Z15C återställer marknadstillstånd.</x:v>
      </x:c>
      <x:c r="I22" s="19" t="str">
        <x:v>RLS/RPC/access service</x:v>
      </x:c>
      <x:c r="J22" s="19" t="str">
        <x:v>SYS</x:v>
      </x:c>
      <x:c r="K22" s="19" t="str">
        <x:v>Implementering och beteendeprov krävs; inte produktionsgodkänt av detta dokument.</x:v>
      </x:c>
      <x:c r="L22" s="19" t="str">
        <x:v>Ej verifierad</x:v>
      </x:c>
      <x:c r="M22" s="19" t="str">
        <x:v>AT-TEN-10</x:v>
      </x:c>
      <x:c r="N22" s="19" t="str">
        <x:v>Se källregister och lokala bilagor i v2-paketet</x:v>
      </x:c>
    </x:row>
    <x:row r="23" ht="50.400001525878906" customHeight="1">
      <x:c r="A23" s="19" t="str">
        <x:v>TEN-11</x:v>
      </x:c>
      <x:c r="B23" s="19" t="str">
        <x:v>Inga fabricerade protokollfel</x:v>
      </x:c>
      <x:c r="C23" s="19" t="str">
        <x:v>Intern arkitektur</x:v>
      </x:c>
      <x:c r="D23" s="19" t="str">
        <x:v>Okänd lokal entitlement</x:v>
      </x:c>
      <x:c r="E23" s="19" t="str">
        <x:v>Inkommande giltig marknadstrafik</x:v>
      </x:c>
      <x:c r="F23" s="19" t="str">
        <x:v>Skilj eget konfigurationsfel från avsändarens anvisnings-/funktionsfel.</x:v>
      </x:c>
      <x:c r="G23" s="19" t="str">
        <x:v>Behåll föreskriven teknisk kvittens där säkert möjlig; utred egen behörighetskonfiguration utan dataexponering.</x:v>
      </x:c>
      <x:c r="H23" s="19" t="str">
        <x:v>Skicka inte E10 eller42/209 enbart för att fel tenant valts lokalt.</x:v>
      </x:c>
      <x:c r="I23" s="19" t="str">
        <x:v>decision/error classifier</x:v>
      </x:c>
      <x:c r="J23" s="19" t="str">
        <x:v>U bilaga1–2; T §2; SYS</x:v>
      </x:c>
      <x:c r="K23" s="19" t="str">
        <x:v>Implementering och beteendeprov krävs; inte produktionsgodkänt av detta dokument.</x:v>
      </x:c>
      <x:c r="L23" s="19" t="str">
        <x:v>Ej verifierad</x:v>
      </x:c>
      <x:c r="M23" s="19" t="str">
        <x:v>AT-TEN-11</x:v>
      </x:c>
      <x:c r="N23" s="19" t="str">
        <x:v>https://www.ediel.se/Info/edielanvisningar</x:v>
      </x:c>
    </x:row>
    <x:row r="24" ht="50.400001525878906" customHeight="1">
      <x:c r="A24" s="19" t="str">
        <x:v>TEN-12</x:v>
      </x:c>
      <x:c r="B24" s="19" t="str">
        <x:v>Isolering</x:v>
      </x:c>
      <x:c r="C24" s="19" t="str">
        <x:v>Intern arkitektur</x:v>
      </x:c>
      <x:c r="D24" s="19" t="str">
        <x:v>DB/API/job/cache</x:v>
      </x:c>
      <x:c r="E24" s="19" t="str">
        <x:v>Varje åtkomst</x:v>
      </x:c>
      <x:c r="F24" s="19" t="str">
        <x:v>Sammansatta tenant-referenser, explicit delegation och grantfilter; service credentials inte synonymt med global behörighet.</x:v>
      </x:c>
      <x:c r="G24" s="19" t="str">
        <x:v>RLS/RPC verifierar actor/role/tenant även i bakgrundsjobb; isolera cache/sök/export.</x:v>
      </x:c>
      <x:c r="H24" s="19" t="str">
        <x:v>Ingen OR-villkorsbaserad superadminläcka till beneficiaries.</x:v>
      </x:c>
      <x:c r="I24" s="19" t="str">
        <x:v>DB grants / API guards</x:v>
      </x:c>
      <x:c r="J24" s="19" t="str">
        <x:v>SYS</x:v>
      </x:c>
      <x:c r="K24" s="19" t="str">
        <x:v>Implementering och beteendeprov krävs; inte produktionsgodkänt av detta dokument.</x:v>
      </x:c>
      <x:c r="L24" s="19" t="str">
        <x:v>Ej verifierad</x:v>
      </x:c>
      <x:c r="M24" s="19" t="str">
        <x:v>AT-TEN-12</x:v>
      </x:c>
      <x:c r="N24" s="19" t="str">
        <x:v>Se källregister och lokala bilagor i v2-paketet</x:v>
      </x:c>
    </x:row>
    <x:row r="25" ht="50.400001525878906" customHeight="1">
      <x:c r="A25" s="19" t="str">
        <x:v>TEN-13</x:v>
      </x:c>
      <x:c r="B25" s="19" t="str">
        <x:v>Identifierarutrymme</x:v>
      </x:c>
      <x:c r="C25" s="19" t="str">
        <x:v>Normkrav + intern verkställighet</x:v>
      </x:c>
      <x:c r="D25" s="19" t="str">
        <x:v>BGM/UNB/IDE/tillstånd</x:v>
      </x:c>
      <x:c r="E25" s="19" t="str">
        <x:v>Allokering och korrelation</x:v>
      </x:c>
      <x:c r="F25" s="19" t="str">
        <x:v>Unikhet i protokollets avsändar-/applikationsutrymme även när flera tenants nyttjar samma juridiska ESCO.</x:v>
      </x:c>
      <x:c r="G25" s="19" t="str">
        <x:v>Lagra interna UUID och wire-id separat; entydigt ursprung för kvittenser.</x:v>
      </x:c>
      <x:c r="H25" s="19" t="str">
        <x:v>Tenantlokala räknare får inte krocka externt; LI ensam är inte tenantnyckel.</x:v>
      </x:c>
      <x:c r="I25" s="19" t="str">
        <x:v>identity allocator / correlator</x:v>
      </x:c>
      <x:c r="J25" s="19" t="str">
        <x:v>P §2.2,3; U §3.9,5.5; SYS</x:v>
      </x:c>
      <x:c r="K25" s="19" t="str">
        <x:v>Implementering och beteendeprov krävs; inte produktionsgodkänt av detta dokument.</x:v>
      </x:c>
      <x:c r="L25" s="19" t="str">
        <x:v>Ej verifierad</x:v>
      </x:c>
      <x:c r="M25" s="19" t="str">
        <x:v>AT-TEN-13</x:v>
      </x:c>
      <x:c r="N25" s="19" t="str">
        <x:v>https://www.ediel.se/Info/edielanvisningar</x:v>
      </x:c>
    </x:row>
    <x:row r="26" ht="50.400001525878906" customHeight="1">
      <x:c r="A26" s="19" t="str">
        <x:v>TEN-14</x:v>
      </x:c>
      <x:c r="B26" s="19" t="str">
        <x:v>Avtal och dataansvar</x:v>
      </x:c>
      <x:c r="C26" s="19" t="str">
        <x:v>Intern arkitektur</x:v>
      </x:c>
      <x:c r="D26" s="19" t="str">
        <x:v>Cross-tenant ESCO</x:v>
      </x:c>
      <x:c r="E26" s="19" t="str">
        <x:v>Uppdrag aktiveras</x:v>
      </x:c>
      <x:c r="F26" s="19" t="str">
        <x:v>Fastställ vem som är ESCO, berättigad mottagare, avtalspart och tillåten intern mottagare; dokumentera dataskyddsroller.</x:v>
      </x:c>
      <x:c r="G26" s="19" t="str">
        <x:v>Tillåt avgränsad aktivering efter evidens.</x:v>
      </x:c>
      <x:c r="H26" s="19" t="str">
        <x:v>Lämna uppdrag spärrat tills konkreta rättigheter finns; rollnamn är inte juridiskt bevis.</x:v>
      </x:c>
      <x:c r="I26" s="19" t="str">
        <x:v>assignment approval</x:v>
      </x:c>
      <x:c r="J26" s="19" t="str">
        <x:v>HB kap.11; rättslig verifiering G04</x:v>
      </x:c>
      <x:c r="K26" s="19" t="str">
        <x:v>Implementering och beteendeprov krävs; inte produktionsgodkänt av detta dokument.</x:v>
      </x:c>
      <x:c r="L26" s="19" t="str">
        <x:v>Ej verifierad</x:v>
      </x:c>
      <x:c r="M26" s="19" t="str">
        <x:v>AT-TEN-14</x:v>
      </x:c>
      <x:c r="N26" s="19" t="str">
        <x:v>https://www.elmarknadshandboken.se/Dokumentation/Texter/NEMHB.pdf</x:v>
      </x:c>
    </x:row>
    <x:row r="27" ht="50.400001525878906" customHeight="1">
      <x:c r="A27" s="19" t="str">
        <x:v>IMP-01</x:v>
      </x:c>
      <x:c r="B27" s="19" t="str">
        <x:v>Registerimport</x:v>
      </x:c>
      <x:c r="C27" s="19" t="str">
        <x:v>Intern arkitektur</x:v>
      </x:c>
      <x:c r="D27" s="19" t="str">
        <x:v>XML/TXT</x:v>
      </x:c>
      <x:c r="E27" s="19" t="str">
        <x:v>Fil läses</x:v>
      </x:c>
      <x:c r="F27" s="19" t="str">
        <x:v>Officiell struktur: Market/Company/Identifiers/Key Type/EDIFACTDetails; TXT har egna familjeblock och kan innehålla radbrytningar.</x:v>
      </x:c>
      <x:c r="G27" s="19" t="str">
        <x:v>En importerande kärna med separata formatadaptrar och gemensam typad utdata.</x:v>
      </x:c>
      <x:c r="H27" s="19" t="str">
        <x:v>Avvisa oläsbar post med diagnos; acceptera inte0routes som framgång.</x:v>
      </x:c>
      <x:c r="I27" s="19" t="str">
        <x:v>parseActorRegistryXml / import adapters</x:v>
      </x:c>
      <x:c r="J27" s="19" t="str">
        <x:v>companies.xml/companies.txt; SYS</x:v>
      </x:c>
      <x:c r="K27" s="19" t="str">
        <x:v>Implementering och beteendeprov krävs; inte produktionsgodkänt av detta dokument.</x:v>
      </x:c>
      <x:c r="L27" s="19" t="str">
        <x:v>Ej verifierad</x:v>
      </x:c>
      <x:c r="M27" s="19" t="str">
        <x:v>AT-IMP-01</x:v>
      </x:c>
      <x:c r="N27" s="19" t="str">
        <x:v>Se källregister och lokala bilagor i v2-paketet</x:v>
      </x:c>
    </x:row>
    <x:row r="28" ht="50.400001525878906" customHeight="1">
      <x:c r="A28" s="19" t="str">
        <x:v>IMP-02</x:v>
      </x:c>
      <x:c r="B28" s="19" t="str">
        <x:v>Registerimport</x:v>
      </x:c>
      <x:c r="C28" s="19" t="str">
        <x:v>Ediel/Handbok</x:v>
      </x:c>
      <x:c r="D28" s="19" t="str">
        <x:v>EL/GAS och roller</x:v>
      </x:c>
      <x:c r="E28" s="19" t="str">
        <x:v>Normalisering</x:v>
      </x:c>
      <x:c r="F28" s="19" t="str">
        <x:v>Bevara marknad, originalkod, land, roller, teknik/juridik, familj, subadress och transporttyp.</x:v>
      </x:c>
      <x:c r="G28" s="19" t="str">
        <x:v>Matcha rätt rutt inom rätt marknad; GAS kan lagras som referens men inte köras i EL-profil.</x:v>
      </x:c>
      <x:c r="H28" s="19" t="str">
        <x:v>Slå inte ihop aktörer endast på namn/orgnr eller tappa familjekvalificerare.</x:v>
      </x:c>
      <x:c r="I28" s="19" t="str">
        <x:v>registry normalizer</x:v>
      </x:c>
      <x:c r="J28" s="19" t="str">
        <x:v>T §5; companies.xml</x:v>
      </x:c>
      <x:c r="K28" s="19" t="str">
        <x:v>Implementering och beteendeprov krävs; inte produktionsgodkänt av detta dokument.</x:v>
      </x:c>
      <x:c r="L28" s="19" t="str">
        <x:v>Ej verifierad</x:v>
      </x:c>
      <x:c r="M28" s="19" t="str">
        <x:v>AT-IMP-02</x:v>
      </x:c>
      <x:c r="N28" s="19" t="str">
        <x:v>https://www.ediel.se/Info/edielanvisningar</x:v>
      </x:c>
    </x:row>
    <x:row r="29" ht="50.400001525878906" customHeight="1">
      <x:c r="A29" s="19" t="str">
        <x:v>IMP-03</x:v>
      </x:c>
      <x:c r="B29" s="19" t="str">
        <x:v>Registerimport</x:v>
      </x:c>
      <x:c r="C29" s="19" t="str">
        <x:v>Intern arkitektur</x:v>
      </x:c>
      <x:c r="D29" s="19" t="str">
        <x:v>Ruttändring</x:v>
      </x:c>
      <x:c r="E29" s="19" t="str">
        <x:v>Preview/apply</x:v>
      </x:c>
      <x:c r="F29" s="19" t="str">
        <x:v>Diff mot giltig snapshot; separation av registeruppgift, granskning och autosändningsberedskap.</x:v>
      </x:c>
      <x:c r="G29" s="19" t="str">
        <x:v>Atomär/idempotent import med kvarstående konflikter och ny ruttversion.</x:v>
      </x:c>
      <x:c r="H29" s="19" t="str">
        <x:v>Importerad adress betyder inte giltigt certifikat eller klar produktion.</x:v>
      </x:c>
      <x:c r="I29" s="19" t="str">
        <x:v>importActorRegistry / readiness</x:v>
      </x:c>
      <x:c r="J29" s="19" t="str">
        <x:v>SYS</x:v>
      </x:c>
      <x:c r="K29" s="19" t="str">
        <x:v>Implementering och beteendeprov krävs; inte produktionsgodkänt av detta dokument.</x:v>
      </x:c>
      <x:c r="L29" s="19" t="str">
        <x:v>Ej verifierad</x:v>
      </x:c>
      <x:c r="M29" s="19" t="str">
        <x:v>AT-IMP-03</x:v>
      </x:c>
      <x:c r="N29" s="19" t="str">
        <x:v>Se källregister och lokala bilagor i v2-paketet</x:v>
      </x:c>
    </x:row>
    <x:row r="30" ht="50.400001525878906" customHeight="1">
      <x:c r="A30" s="19" t="str">
        <x:v>IMP-04</x:v>
      </x:c>
      <x:c r="B30" s="19" t="str">
        <x:v>Registerimport</x:v>
      </x:c>
      <x:c r="C30" s="19" t="str">
        <x:v>Ediel/Handbok</x:v>
      </x:c>
      <x:c r="D30" s="19" t="str">
        <x:v>Subadresser</x:v>
      </x:c>
      <x:c r="E30" s="19" t="str">
        <x:v>Ruttbeslut</x:v>
      </x:c>
      <x:c r="F30" s="19" t="str">
        <x:v>Tom registrerad subadress är ett giltigt värde; UTILTS använder inte subadress.</x:v>
      </x:c>
      <x:c r="G30" s="19" t="str">
        <x:v>Bevara exakt registrerat värde; återverifiera Gridex GRIDEX-avvikelsen.</x:v>
      </x:c>
      <x:c r="H30" s="19" t="str">
        <x:v>Hitta inte på PRODAT/SCH/GRIDEX för alla.</x:v>
      </x:c>
      <x:c r="I30" s="19" t="str">
        <x:v>route resolver</x:v>
      </x:c>
      <x:c r="J30" s="19" t="str">
        <x:v>T §5; companies.xml</x:v>
      </x:c>
      <x:c r="K30" s="19" t="str">
        <x:v>Implementering och beteendeprov krävs; inte produktionsgodkänt av detta dokument.</x:v>
      </x:c>
      <x:c r="L30" s="19" t="str">
        <x:v>Ej verifierad</x:v>
      </x:c>
      <x:c r="M30" s="19" t="str">
        <x:v>AT-IMP-04</x:v>
      </x:c>
      <x:c r="N30" s="19" t="str">
        <x:v>https://www.ediel.se/Info/edielanvisningar</x:v>
      </x:c>
    </x:row>
    <x:row r="31" ht="50.400001525878906" customHeight="1">
      <x:c r="A31" s="19" t="str">
        <x:v>IMP-05</x:v>
      </x:c>
      <x:c r="B31" s="19" t="str">
        <x:v>Registerimport</x:v>
      </x:c>
      <x:c r="C31" s="19" t="str">
        <x:v>Ediel/Handbok</x:v>
      </x:c>
      <x:c r="D31" s="19" t="str">
        <x:v>Certifikat-/SMTP-byte</x:v>
      </x:c>
      <x:c r="E31" s="19" t="str">
        <x:v>Ny ruttversion</x:v>
      </x:c>
      <x:c r="F31" s="19" t="str">
        <x:v>Säkerhetsidentitet och registrerad adress verifieras tillsammans; bevara gammal version för historik.</x:v>
      </x:c>
      <x:c r="G31" s="19" t="str">
        <x:v>Invalidate berörda aktörers/tenants readiness och verifiera returväg.</x:v>
      </x:c>
      <x:c r="H31" s="19" t="str">
        <x:v>Skicka inte med nytt mejlmål och gammalt obestämt certifikatscope.</x:v>
      </x:c>
      <x:c r="I31" s="19" t="str">
        <x:v>routeMaterializer / certificate resolver</x:v>
      </x:c>
      <x:c r="J31" s="19" t="str">
        <x:v>T bilagaA; SYS</x:v>
      </x:c>
      <x:c r="K31" s="19" t="str">
        <x:v>Implementering och beteendeprov krävs; inte produktionsgodkänt av detta dokument.</x:v>
      </x:c>
      <x:c r="L31" s="19" t="str">
        <x:v>Ej verifierad</x:v>
      </x:c>
      <x:c r="M31" s="19" t="str">
        <x:v>AT-IMP-05</x:v>
      </x:c>
      <x:c r="N31" s="19" t="str">
        <x:v>Se källregister och lokala bilagor i v2-paketet</x:v>
      </x:c>
    </x:row>
    <x:row r="32" ht="50.400001525878906" customHeight="1">
      <x:c r="A32" s="19" t="str">
        <x:v>ENV-01</x:v>
      </x:c>
      <x:c r="B32" s="19" t="str">
        <x:v>Kuvert</x:v>
      </x:c>
      <x:c r="C32" s="19" t="str">
        <x:v>Ediel/Handbok</x:v>
      </x:c>
      <x:c r="D32" s="19" t="str">
        <x:v>PRODAT/UTILTS/AP för dessa</x:v>
      </x:c>
      <x:c r="E32" s="19" t="str">
        <x:v>Serialisering</x:v>
      </x:c>
      <x:c r="F32" s="19" t="str">
        <x:v>UNOC:3 och faktiska ISO8859-1-byte; escaping enligt UNA före sammanfogning.</x:v>
      </x:c>
      <x:c r="G32" s="19" t="str">
        <x:v>Detektera tecken som inte kan representeras; bevara original och dokumenterad tillåten konvertering.</x:v>
      </x:c>
      <x:c r="H32" s="19" t="str">
        <x:v>Maskera inte UTF8-byte som UNOC; trunkera inte kund-id.</x:v>
      </x:c>
      <x:c r="I32" s="19" t="str">
        <x:v>edifactEnvelopeCodec / MIME encoder</x:v>
      </x:c>
      <x:c r="J32" s="19" t="str">
        <x:v>T §4,6; P §4.2</x:v>
      </x:c>
      <x:c r="K32" s="19" t="str">
        <x:v>Implementering och beteendeprov krävs; inte produktionsgodkänt av detta dokument.</x:v>
      </x:c>
      <x:c r="L32" s="19" t="str">
        <x:v>Ej verifierad</x:v>
      </x:c>
      <x:c r="M32" s="19" t="str">
        <x:v>AT-ENV-01</x:v>
      </x:c>
      <x:c r="N32" s="19" t="str">
        <x:v>https://www.ediel.se/Info/edielanvisningar</x:v>
      </x:c>
    </x:row>
    <x:row r="33" ht="50.400001525878906" customHeight="1">
      <x:c r="A33" s="19" t="str">
        <x:v>ENV-02</x:v>
      </x:c>
      <x:c r="B33" s="19" t="str">
        <x:v>Kuvert</x:v>
      </x:c>
      <x:c r="C33" s="19" t="str">
        <x:v>Ediel/Handbok</x:v>
      </x:c>
      <x:c r="D33" s="19" t="str">
        <x:v>Alla EDIFACT</x:v>
      </x:c>
      <x:c r="E33" s="19" t="str">
        <x:v>Parse/render</x:v>
      </x:c>
      <x:c r="F33" s="19" t="str">
        <x:v>Alternativa UNA-separatorer, releasechar och tomma komponentpositioner bevaras; releasechar räknas inte i fältlängd.</x:v>
      </x:c>
      <x:c r="G33" s="19" t="str">
        <x:v>Positionsstabilt AST med span/segmentgrupp/objekt/register.</x:v>
      </x:c>
      <x:c r="H33" s="19" t="str">
        <x:v>Ingen split/filter(Boolean) som flyttar CAV-komponenter.</x:v>
      </x:c>
      <x:c r="I33" s="19" t="str">
        <x:v>edifactTokenizer / canonicalEdifactAst</x:v>
      </x:c>
      <x:c r="J33" s="19" t="str">
        <x:v>T §4.1,6,7.5</x:v>
      </x:c>
      <x:c r="K33" s="19" t="str">
        <x:v>Implementering och beteendeprov krävs; inte produktionsgodkänt av detta dokument.</x:v>
      </x:c>
      <x:c r="L33" s="19" t="str">
        <x:v>Ej verifierad</x:v>
      </x:c>
      <x:c r="M33" s="19" t="str">
        <x:v>AT-ENV-02</x:v>
      </x:c>
      <x:c r="N33" s="19" t="str">
        <x:v>https://www.ediel.se/Info/edielanvisningar</x:v>
      </x:c>
    </x:row>
    <x:row r="34" ht="50.400001525878906" customHeight="1">
      <x:c r="A34" s="19" t="str">
        <x:v>ENV-03</x:v>
      </x:c>
      <x:c r="B34" s="19" t="str">
        <x:v>Kuvert</x:v>
      </x:c>
      <x:c r="C34" s="19" t="str">
        <x:v>Ediel/Handbok</x:v>
      </x:c>
      <x:c r="D34" s="19" t="str">
        <x:v>UNB/UNH/UNT/UNZ</x:v>
      </x:c>
      <x:c r="E34" s="19" t="str">
        <x:v>Färdig payload</x:v>
      </x:c>
      <x:c r="F34" s="19" t="str">
        <x:v>Unika tekniska referenser; UNT inkluderar UNH/UNT; UNZ count och ref stämmer;0010/0017/0019 enligt profil.</x:v>
      </x:c>
      <x:c r="G34" s="19" t="str">
        <x:v>Beräkna räknare från faktiskt serialiserad struktur.</x:v>
      </x:c>
      <x:c r="H34" s="19" t="str">
        <x:v>Återanvänd inte filnamn som tekniskt id; inga handskrivna stale segmentantal.</x:v>
      </x:c>
      <x:c r="I34" s="19" t="str">
        <x:v>edifactEnvelopeCodec</x:v>
      </x:c>
      <x:c r="J34" s="19" t="str">
        <x:v>T §4; P/U segmenttabeller</x:v>
      </x:c>
      <x:c r="K34" s="19" t="str">
        <x:v>Implementering och beteendeprov krävs; inte produktionsgodkänt av detta dokument.</x:v>
      </x:c>
      <x:c r="L34" s="19" t="str">
        <x:v>Ej verifierad</x:v>
      </x:c>
      <x:c r="M34" s="19" t="str">
        <x:v>AT-ENV-03</x:v>
      </x:c>
      <x:c r="N34" s="19" t="str">
        <x:v>https://www.ediel.se/Info/edielanvisningar</x:v>
      </x:c>
    </x:row>
    <x:row r="35" ht="50.400001525878906" customHeight="1">
      <x:c r="A35" s="19" t="str">
        <x:v>ENV-04</x:v>
      </x:c>
      <x:c r="B35" s="19" t="str">
        <x:v>Kvittensbegäran</x:v>
      </x:c>
      <x:c r="C35" s="19" t="str">
        <x:v>Ediel/Handbok</x:v>
      </x:c>
      <x:c r="D35" s="19" t="str">
        <x:v>UNB</x:v>
      </x:c>
      <x:c r="E35" s="19" t="str">
        <x:v>Utgående</x:v>
      </x:c>
      <x:c r="F35" s="19" t="str">
        <x:v>UNB/0031=1 när CONTRL ska begäras; utelämna för CONTRL.</x:v>
      </x:c>
      <x:c r="G35" s="19" t="str">
        <x:v>Samma kvittensbeslut används i kuvert och bevakning.</x:v>
      </x:c>
      <x:c r="H35" s="19" t="str">
        <x:v>AB i BGM ersätter inte0031; skapa inte kvittensloop.</x:v>
      </x:c>
      <x:c r="I35" s="19" t="str">
        <x:v>canonicalAckEngine → envelope</x:v>
      </x:c>
      <x:c r="J35" s="19" t="str">
        <x:v>T §2.1,4.2</x:v>
      </x:c>
      <x:c r="K35" s="19" t="str">
        <x:v>Implementering och beteendeprov krävs; inte produktionsgodkänt av detta dokument.</x:v>
      </x:c>
      <x:c r="L35" s="19" t="str">
        <x:v>Ej verifierad</x:v>
      </x:c>
      <x:c r="M35" s="19" t="str">
        <x:v>AT-ENV-04</x:v>
      </x:c>
      <x:c r="N35" s="19" t="str">
        <x:v>https://www.ediel.se/Info/edielanvisningar</x:v>
      </x:c>
    </x:row>
    <x:row r="36" ht="50.400001525878906" customHeight="1">
      <x:c r="A36" s="19" t="str">
        <x:v>ENV-05</x:v>
      </x:c>
      <x:c r="B36" s="19" t="str">
        <x:v>Miljö</x:v>
      </x:c>
      <x:c r="C36" s="19" t="str">
        <x:v>Ediel/Handbok</x:v>
      </x:c>
      <x:c r="D36" s="19" t="str">
        <x:v>UNB testflagga</x:v>
      </x:c>
      <x:c r="E36" s="19" t="str">
        <x:v>Parse/render</x:v>
      </x:c>
      <x:c r="F36" s="19" t="str">
        <x:v>0035=1 för test; produktion utelämnar flaggan.</x:v>
      </x:c>
      <x:c r="G36" s="19" t="str">
        <x:v>Separata identiteter, routing, dedupe och transportspärrar för test/replay/produktion.</x:v>
      </x:c>
      <x:c r="H36" s="19" t="str">
        <x:v>Sätt inte0 som ersättning; kör aldrig TGTreferens som produktionsaffär.</x:v>
      </x:c>
      <x:c r="I36" s="19" t="str">
        <x:v>envelope / environment gate</x:v>
      </x:c>
      <x:c r="J36" s="19" t="str">
        <x:v>T §4.2; SYS</x:v>
      </x:c>
      <x:c r="K36" s="19" t="str">
        <x:v>Implementering och beteendeprov krävs; inte produktionsgodkänt av detta dokument.</x:v>
      </x:c>
      <x:c r="L36" s="19" t="str">
        <x:v>Ej verifierad</x:v>
      </x:c>
      <x:c r="M36" s="19" t="str">
        <x:v>AT-ENV-05</x:v>
      </x:c>
      <x:c r="N36" s="19" t="str">
        <x:v>https://www.ediel.se/Info/edielanvisningar</x:v>
      </x:c>
    </x:row>
    <x:row r="37" ht="50.400001525878906" customHeight="1">
      <x:c r="A37" s="19" t="str">
        <x:v>ENV-06</x:v>
      </x:c>
      <x:c r="B37" s="19" t="str">
        <x:v>Meddelandeprofil</x:v>
      </x:c>
      <x:c r="C37" s="19" t="str">
        <x:v>Ediel/Handbok</x:v>
      </x:c>
      <x:c r="D37" s="19" t="str">
        <x:v>PRODAT</x:v>
      </x:c>
      <x:c r="E37" s="19" t="str">
        <x:v>BGM/CCI byggs</x:v>
      </x:c>
      <x:c r="F37" s="19" t="str">
        <x:v>BGM bär Z-funktion utan suffix; CCI Z13/CAV bär treteckenskod för undertyp.</x:v>
      </x:c>
      <x:c r="G37" s="19" t="str">
        <x:v>Z03 + Z22 betyder Z03L, inte BGM+Z03L.</x:v>
      </x:c>
      <x:c r="H37" s="19" t="str">
        <x:v>Avvisa fel kombination på rätt kontrollnivå.</x:v>
      </x:c>
      <x:c r="I37" s="19" t="str">
        <x:v>profileRenderer / subtypeRegistry</x:v>
      </x:c>
      <x:c r="J37" s="19" t="str">
        <x:v>P §2.1,2.6</x:v>
      </x:c>
      <x:c r="K37" s="19" t="str">
        <x:v>Implementering och beteendeprov krävs; inte produktionsgodkänt av detta dokument.</x:v>
      </x:c>
      <x:c r="L37" s="19" t="str">
        <x:v>Ej verifierad</x:v>
      </x:c>
      <x:c r="M37" s="19" t="str">
        <x:v>AT-ENV-06</x:v>
      </x:c>
      <x:c r="N37" s="19" t="str">
        <x:v>https://www.ediel.se/Info/edielanvisningar</x:v>
      </x:c>
    </x:row>
    <x:row r="38" ht="50.400001525878906" customHeight="1">
      <x:c r="A38" s="19" t="str">
        <x:v>ENV-07</x:v>
      </x:c>
      <x:c r="B38" s="19" t="str">
        <x:v>Paketering</x:v>
      </x:c>
      <x:c r="C38" s="19" t="str">
        <x:v>Ediel/Handbok</x:v>
      </x:c>
      <x:c r="D38" s="19" t="str">
        <x:v>PRODAT</x:v>
      </x:c>
      <x:c r="E38" s="19" t="str">
        <x:v>Batchning</x:v>
      </x:c>
      <x:c r="F38" s="19" t="str">
        <x:v>Blanda inte olika PRODAT-funktioner i samma UNB–UNZ.</x:v>
      </x:c>
      <x:c r="G38" s="19" t="str">
        <x:v>Batcha kompatibla objekt med gemensam aktör/profil/roll; tenantseparation som extra internt skydd.</x:v>
      </x:c>
      <x:c r="H38" s="19" t="str">
        <x:v>Dela batchen; inte generisk multi-message-blandning.</x:v>
      </x:c>
      <x:c r="I38" s="19" t="str">
        <x:v>outbox batch planner</x:v>
      </x:c>
      <x:c r="J38" s="19" t="str">
        <x:v>P s.14; SYS</x:v>
      </x:c>
      <x:c r="K38" s="19" t="str">
        <x:v>Implementering och beteendeprov krävs; inte produktionsgodkänt av detta dokument.</x:v>
      </x:c>
      <x:c r="L38" s="19" t="str">
        <x:v>Ej verifierad</x:v>
      </x:c>
      <x:c r="M38" s="19" t="str">
        <x:v>AT-ENV-07</x:v>
      </x:c>
      <x:c r="N38" s="19" t="str">
        <x:v>https://www.ediel.se/Info/edielanvisningar</x:v>
      </x:c>
    </x:row>
    <x:row r="39" ht="50.400001525878906" customHeight="1">
      <x:c r="A39" s="19" t="str">
        <x:v>ENV-08</x:v>
      </x:c>
      <x:c r="B39" s="19" t="str">
        <x:v>Tid</x:v>
      </x:c>
      <x:c r="C39" s="19" t="str">
        <x:v>Ediel/Handbok</x:v>
      </x:c>
      <x:c r="D39" s="19" t="str">
        <x:v>PRODAT/UTILTS och UNB</x:v>
      </x:c>
      <x:c r="E39" s="19" t="str">
        <x:v>Datumkodning</x:v>
      </x:c>
      <x:c r="F39" s="19" t="str">
        <x:v>Payload fast normaltid: P DTMZZZ=1:805, U DTM735=+0100:406; UNB lokal tid enligt regeln.</x:v>
      </x:c>
      <x:c r="G39" s="19" t="str">
        <x:v>Lagra UTC plus originaloffset/format och affärsdatum; konvertera uttryckligt.</x:v>
      </x:c>
      <x:c r="H39" s="19" t="str">
        <x:v>Använd inte sommartid för varje payloadperiod eller92/100 kvartar per fast-CET-dygn.</x:v>
      </x:c>
      <x:c r="I39" s="19" t="str">
        <x:v>time codec / timer policy</x:v>
      </x:c>
      <x:c r="J39" s="19" t="str">
        <x:v>T §4.2,7.9; P206; U §3.6.1,3.9</x:v>
      </x:c>
      <x:c r="K39" s="19" t="str">
        <x:v>Implementering och beteendeprov krävs; inte produktionsgodkänt av detta dokument.</x:v>
      </x:c>
      <x:c r="L39" s="19" t="str">
        <x:v>Ej verifierad</x:v>
      </x:c>
      <x:c r="M39" s="19" t="str">
        <x:v>AT-ENV-08</x:v>
      </x:c>
      <x:c r="N39" s="19" t="str">
        <x:v>https://www.ediel.se/Info/edielanvisningar</x:v>
      </x:c>
    </x:row>
    <x:row r="40" ht="50.400001525878906" customHeight="1">
      <x:c r="A40" s="19" t="str">
        <x:v>ENV-09</x:v>
      </x:c>
      <x:c r="B40" s="19" t="str">
        <x:v>Grammatik</x:v>
      </x:c>
      <x:c r="C40" s="19" t="str">
        <x:v>Ediel/Handbok</x:v>
      </x:c>
      <x:c r="D40" s="19" t="str">
        <x:v>Alla familjer</x:v>
      </x:c>
      <x:c r="E40" s="19" t="str">
        <x:v>Syntaxkontroll</x:v>
      </x:c>
      <x:c r="F40" s="19" t="str">
        <x:v>Nationella segmenttabeller kan utelämna senare ej använda element; full UNSM-grammatik krävs för riktig syntax-M/kardinalitet.</x:v>
      </x:c>
      <x:c r="G40" s="19" t="str">
        <x:v>Versionera parsergrammatik separat från nationell fältanvändning.</x:v>
      </x:c>
      <x:c r="H40" s="19" t="str">
        <x:v>En kort svensk tabell får inte bli falskt strikt UNECE-syntax.</x:v>
      </x:c>
      <x:c r="I40" s="19" t="str">
        <x:v>grammar registry</x:v>
      </x:c>
      <x:c r="J40" s="19" t="str">
        <x:v>T §2.1; P §2.6; U §3.9,5.5</x:v>
      </x:c>
      <x:c r="K40" s="19" t="str">
        <x:v>Implementering och beteendeprov krävs; inte produktionsgodkänt av detta dokument.</x:v>
      </x:c>
      <x:c r="L40" s="19" t="str">
        <x:v>Ej verifierad</x:v>
      </x:c>
      <x:c r="M40" s="19" t="str">
        <x:v>AT-ENV-09</x:v>
      </x:c>
      <x:c r="N40" s="19" t="str">
        <x:v>https://www.ediel.se/Info/edielanvisningar</x:v>
      </x:c>
    </x:row>
    <x:row r="41" ht="50.400001525878906" customHeight="1">
      <x:c r="A41" s="19" t="str">
        <x:v>P-01</x:v>
      </x:c>
      <x:c r="B41" s="19" t="str">
        <x:v>PRODAT-fält</x:v>
      </x:c>
      <x:c r="C41" s="19" t="str">
        <x:v>Ediel/Handbok</x:v>
      </x:c>
      <x:c r="D41" s="19" t="str">
        <x:v>Alla P</x:v>
      </x:c>
      <x:c r="E41" s="19" t="str">
        <x:v>Fältkontroll</x:v>
      </x:c>
      <x:c r="F41" s="19" t="str">
        <x:v>74 numeriska fält +3 parentgrupper;110bas-D-celler och registeroverlay hanteras uttryckligt.</x:v>
      </x:c>
      <x:c r="G41" s="19" t="str">
        <x:v>Fältresultat bär riktigt fältnummer, grupp/komponent, objekt/ärende och källregel.</x:v>
      </x:c>
      <x:c r="H41" s="19" t="str">
        <x:v>Inget fältnummer från regex över DTM/RFF-text.</x:v>
      </x:c>
      <x:c r="I41" s="19" t="str">
        <x:v>fieldMatrix / canonicalPolicyFieldValidator</x:v>
      </x:c>
      <x:c r="J41" s="19" t="str">
        <x:v>P §2.2,2.6,3.3</x:v>
      </x:c>
      <x:c r="K41" s="19" t="str">
        <x:v>Implementering och beteendeprov krävs; inte produktionsgodkänt av detta dokument.</x:v>
      </x:c>
      <x:c r="L41" s="19" t="str">
        <x:v>Ej verifierad</x:v>
      </x:c>
      <x:c r="M41" s="19" t="str">
        <x:v>AT-P-01</x:v>
      </x:c>
      <x:c r="N41" s="19" t="str">
        <x:v>https://www.ediel.se/Info/edielanvisningar</x:v>
      </x:c>
    </x:row>
    <x:row r="42" ht="50.400001525878906" customHeight="1">
      <x:c r="A42" s="19" t="str">
        <x:v>P-02</x:v>
      </x:c>
      <x:c r="B42" s="19" t="str">
        <x:v>PRODAT-mottagning</x:v>
      </x:c>
      <x:c r="C42" s="19" t="str">
        <x:v>Ediel/Handbok</x:v>
      </x:c>
      <x:c r="D42" s="19" t="str">
        <x:v>Extra X/icke-tillämplig D</x:v>
      </x:c>
      <x:c r="E42" s="19" t="str">
        <x:v>Giltig syntax och extra data</x:v>
      </x:c>
      <x:c r="F42" s="19" t="str">
        <x:v>Nationell extra information som ska ignoreras får inte utlösa negativ APERAK.</x:v>
      </x:c>
      <x:c r="G42" s="19" t="str">
        <x:v>Ignorera för affärsprojektion; bevara råpayload.</x:v>
      </x:c>
      <x:c r="H42" s="19" t="str">
        <x:v>Skilj verkligt för många syntaxelement från tillåtna men ej använda nationella fält.</x:v>
      </x:c>
      <x:c r="I42" s="19" t="str">
        <x:v>inbound field validator</x:v>
      </x:c>
      <x:c r="J42" s="19" t="str">
        <x:v>P bilaga4 s.119</x:v>
      </x:c>
      <x:c r="K42" s="19" t="str">
        <x:v>Implementering och beteendeprov krävs; inte produktionsgodkänt av detta dokument.</x:v>
      </x:c>
      <x:c r="L42" s="19" t="str">
        <x:v>Ej verifierad</x:v>
      </x:c>
      <x:c r="M42" s="19" t="str">
        <x:v>AT-P-02</x:v>
      </x:c>
      <x:c r="N42" s="19" t="str">
        <x:v>https://www.ediel.se/Info/edielanvisningar</x:v>
      </x:c>
    </x:row>
    <x:row r="43" ht="50.400001525878906" customHeight="1">
      <x:c r="A43" s="19" t="str">
        <x:v>P-03</x:v>
      </x:c>
      <x:c r="B43" s="19" t="str">
        <x:v>PRODAT-sändning</x:v>
      </x:c>
      <x:c r="C43" s="19" t="str">
        <x:v>Ediel/Handbok</x:v>
      </x:c>
      <x:c r="D43" s="19" t="str">
        <x:v>D-villkor</x:v>
      </x:c>
      <x:c r="E43" s="19" t="str">
        <x:v>Utgående profil</x:v>
      </x:c>
      <x:c r="F43" s="19" t="str">
        <x:v>Treutfall: sant/falskt/okänt; falskt kan vara O eller X enligt specifik notering.</x:v>
      </x:c>
      <x:c r="G43" s="19" t="str">
        <x:v>Rfält fylls från auktoritativa fakta; Ofält enligt medvetet val.</x:v>
      </x:c>
      <x:c r="H43" s="19" t="str">
        <x:v>Ingen blanketregel Dfalse=forbidden; saknad lokal fakta blockerar egen sändning.</x:v>
      </x:c>
      <x:c r="I43" s="19" t="str">
        <x:v>dependentConditionEngine</x:v>
      </x:c>
      <x:c r="J43" s="19" t="str">
        <x:v>P §2.2</x:v>
      </x:c>
      <x:c r="K43" s="19" t="str">
        <x:v>Implementering och beteendeprov krävs; inte produktionsgodkänt av detta dokument.</x:v>
      </x:c>
      <x:c r="L43" s="19" t="str">
        <x:v>Ej verifierad</x:v>
      </x:c>
      <x:c r="M43" s="19" t="str">
        <x:v>AT-P-03</x:v>
      </x:c>
      <x:c r="N43" s="19" t="str">
        <x:v>https://www.ediel.se/Info/edielanvisningar</x:v>
      </x:c>
    </x:row>
    <x:row r="44" ht="50.400001525878906" customHeight="1">
      <x:c r="A44" s="19" t="str">
        <x:v>P-04</x:v>
      </x:c>
      <x:c r="B44" s="19" t="str">
        <x:v>Parentgrupper</x:v>
      </x:c>
      <x:c r="C44" s="19" t="str">
        <x:v>Ediel/Handbok</x:v>
      </x:c>
      <x:c r="D44" s="19" t="str">
        <x:v>Z14N/NAD</x:v>
      </x:c>
      <x:c r="E44" s="19" t="str">
        <x:v>Fältkontroll</x:v>
      </x:c>
      <x:c r="F44" s="19" t="str">
        <x:v>Inaktiv grupp gör barnfälten icke-tillämpliga även om basmatrisen visarR.</x:v>
      </x:c>
      <x:c r="G44" s="19" t="str">
        <x:v>Z14N kan vara giltig utan UD/IT/tillståndsid/positiva tillståndsfält.</x:v>
      </x:c>
      <x:c r="H44" s="19" t="str">
        <x:v>Kräv inte land316 ellerIT233/234 utan grupp.</x:v>
      </x:c>
      <x:c r="I44" s="19" t="str">
        <x:v>field profile compiler</x:v>
      </x:c>
      <x:c r="J44" s="19" t="str">
        <x:v>P §2.2 s.20–22</x:v>
      </x:c>
      <x:c r="K44" s="19" t="str">
        <x:v>Implementering och beteendeprov krävs; inte produktionsgodkänt av detta dokument.</x:v>
      </x:c>
      <x:c r="L44" s="19" t="str">
        <x:v>Ej verifierad</x:v>
      </x:c>
      <x:c r="M44" s="19" t="str">
        <x:v>AT-P-04</x:v>
      </x:c>
      <x:c r="N44" s="19" t="str">
        <x:v>https://www.ediel.se/Info/edielanvisningar</x:v>
      </x:c>
    </x:row>
    <x:row r="45" ht="50.400001525878906" customHeight="1">
      <x:c r="A45" s="19" t="str">
        <x:v>P-05</x:v>
      </x:c>
      <x:c r="B45" s="19" t="str">
        <x:v>Flera register</x:v>
      </x:c>
      <x:c r="C45" s="19" t="str">
        <x:v>Ediel/Handbok</x:v>
      </x:c>
      <x:c r="D45" s="19" t="str">
        <x:v>Z04/Z06/Z10</x:v>
      </x:c>
      <x:c r="E45" s="19" t="str">
        <x:v>LIN-grupper behandlas</x:v>
      </x:c>
      <x:c r="F45" s="19" t="str">
        <x:v>314ärglobaltsekvensnr;258registerindex per objekt; alla register och villkor enligt bilaga2.</x:v>
      </x:c>
      <x:c r="G45" s="19" t="str">
        <x:v>Kontrollera registerspecifika kärnfält, ärv tillåten första-registerinformation.</x:v>
      </x:c>
      <x:c r="H45" s="19" t="str">
        <x:v>Kopiera inte basmatrisens allaR till register2+; ignorera extra upprepade icke-styrande fält där guiden säger det.</x:v>
      </x:c>
      <x:c r="I45" s="19" t="str">
        <x:v>AST / register overlay</x:v>
      </x:c>
      <x:c r="J45" s="19" t="str">
        <x:v>P bilaga2 s.114–116</x:v>
      </x:c>
      <x:c r="K45" s="19" t="str">
        <x:v>Implementering och beteendeprov krävs; inte produktionsgodkänt av detta dokument.</x:v>
      </x:c>
      <x:c r="L45" s="19" t="str">
        <x:v>Ej verifierad</x:v>
      </x:c>
      <x:c r="M45" s="19" t="str">
        <x:v>AT-P-05</x:v>
      </x:c>
      <x:c r="N45" s="19" t="str">
        <x:v>https://www.ediel.se/Info/edielanvisningar</x:v>
      </x:c>
    </x:row>
    <x:row r="46" ht="50.400001525878906" customHeight="1">
      <x:c r="A46" s="19" t="str">
        <x:v>P-06</x:v>
      </x:c>
      <x:c r="B46" s="19" t="str">
        <x:v>Identiteter</x:v>
      </x:c>
      <x:c r="C46" s="19" t="str">
        <x:v>Ediel/Handbok</x:v>
      </x:c>
      <x:c r="D46" s="19" t="str">
        <x:v>Kund och anläggning</x:v>
      </x:c>
      <x:c r="E46" s="19" t="str">
        <x:v>Render/validate</x:v>
      </x:c>
      <x:c r="F46" s="19" t="str">
        <x:v>NADUD SE1/SE2 kodlisteansvarig260 i aktuellprofil; Z13 använder inte födelsedatum som kund-id.</x:v>
      </x:c>
      <x:c r="G46" s="19" t="str">
        <x:v>Bevara verifierad kundidentitet och skyddade-identitetsregler.</x:v>
      </x:c>
      <x:c r="H46" s="19" t="str">
        <x:v>Ingen UUID-fallback/namngissning; ändra inte allaZZZglobalt.</x:v>
      </x:c>
      <x:c r="I46" s="19" t="str">
        <x:v>prodat/render/segments</x:v>
      </x:c>
      <x:c r="J46" s="19" t="str">
        <x:v>P s.79–80; bilaga3</x:v>
      </x:c>
      <x:c r="K46" s="19" t="str">
        <x:v>Implementering och beteendeprov krävs; inte produktionsgodkänt av detta dokument.</x:v>
      </x:c>
      <x:c r="L46" s="19" t="str">
        <x:v>Ej verifierad</x:v>
      </x:c>
      <x:c r="M46" s="19" t="str">
        <x:v>AT-P-06</x:v>
      </x:c>
      <x:c r="N46" s="19" t="str">
        <x:v>https://www.ediel.se/Info/edielanvisningar</x:v>
      </x:c>
    </x:row>
    <x:row r="47" ht="50.400001525878906" customHeight="1">
      <x:c r="A47" s="19" t="str">
        <x:v>P-07</x:v>
      </x:c>
      <x:c r="B47" s="19" t="str">
        <x:v>Fältplacering</x:v>
      </x:c>
      <x:c r="C47" s="19" t="str">
        <x:v>Ediel/Handbok</x:v>
      </x:c>
      <x:c r="D47" s="19" t="str">
        <x:v>Z13/Z14</x:v>
      </x:c>
      <x:c r="E47" s="19" t="str">
        <x:v>Energi-id och rapportperiod</x:v>
      </x:c>
      <x:c r="F47" s="19" t="str">
        <x:v>Energiprodukt506 i andra7110; rapportstart90,slut91; detta är inte242aggregatprodukt eller avtals92/93.</x:v>
      </x:c>
      <x:c r="G47" s="19" t="str">
        <x:v>CAV+::::energi-id, rätt DTM och faktisktLIN även utan objekt-id.</x:v>
      </x:c>
      <x:c r="H47" s="19" t="str">
        <x:v>Saknad/feluppgift klassificeras perfält; referensexempel med positiv kvittens är inte automatisk norm.</x:v>
      </x:c>
      <x:c r="I47" s="19" t="str">
        <x:v>profileRenderer</x:v>
      </x:c>
      <x:c r="J47" s="19" t="str">
        <x:v>P s.49–52,69–72</x:v>
      </x:c>
      <x:c r="K47" s="19" t="str">
        <x:v>Implementering och beteendeprov krävs; inte produktionsgodkänt av detta dokument.</x:v>
      </x:c>
      <x:c r="L47" s="19" t="str">
        <x:v>Ej verifierad</x:v>
      </x:c>
      <x:c r="M47" s="19" t="str">
        <x:v>AT-P-07</x:v>
      </x:c>
      <x:c r="N47" s="19" t="str">
        <x:v>https://www.ediel.se/Info/edielanvisningar</x:v>
      </x:c>
    </x:row>
    <x:row r="48" ht="50.400001525878906" customHeight="1">
      <x:c r="A48" s="19" t="str">
        <x:v>P-08</x:v>
      </x:c>
      <x:c r="B48" s="19" t="str">
        <x:v>Avtal</x:v>
      </x:c>
      <x:c r="C48" s="19" t="str">
        <x:v>Ediel/Handbok</x:v>
      </x:c>
      <x:c r="D48" s="19" t="str">
        <x:v>Z09D</x:v>
      </x:c>
      <x:c r="E48" s="19" t="str">
        <x:v>Start eller slut produktionsavtal</x:v>
      </x:c>
      <x:c r="F48" s="19" t="str">
        <x:v>210 XOR211; inte216 i stället.</x:v>
      </x:c>
      <x:c r="G48" s="19" t="str">
        <x:v>Bygg92eller93; vid giltig mottagning uppdatera rätt produktionsrelation.</x:v>
      </x:c>
      <x:c r="H48" s="19" t="str">
        <x:v>Båda: P-APERAK40/109; ingen generell157.</x:v>
      </x:c>
      <x:c r="I48" s="19" t="str">
        <x:v>profileRenderer / lifecycle</x:v>
      </x:c>
      <x:c r="J48" s="19" t="str">
        <x:v>P §2.2,3.3</x:v>
      </x:c>
      <x:c r="K48" s="19" t="str">
        <x:v>Implementering och beteendeprov krävs; inte produktionsgodkänt av detta dokument.</x:v>
      </x:c>
      <x:c r="L48" s="19" t="str">
        <x:v>Ej verifierad</x:v>
      </x:c>
      <x:c r="M48" s="19" t="str">
        <x:v>AT-P-08</x:v>
      </x:c>
      <x:c r="N48" s="19" t="str">
        <x:v>https://www.ediel.se/Info/edielanvisningar</x:v>
      </x:c>
    </x:row>
    <x:row r="49" ht="50.400001525878906" customHeight="1">
      <x:c r="A49" s="19" t="str">
        <x:v>P-09</x:v>
      </x:c>
      <x:c r="B49" s="19" t="str">
        <x:v>Kunddata</x:v>
      </x:c>
      <x:c r="C49" s="19" t="str">
        <x:v>Ediel/Handbok</x:v>
      </x:c>
      <x:c r="D49" s="19" t="str">
        <x:v>Z06E/Z09E</x:v>
      </x:c>
      <x:c r="E49" s="19" t="str">
        <x:v>Kundlivshändelse</x:v>
      </x:c>
      <x:c r="F49" s="19" t="str">
        <x:v>Fält310ärdödsfallsstatus; andraE34-fall behöver rätt process/överenskommelse.</x:v>
      </x:c>
      <x:c r="G49" s="19" t="str">
        <x:v>Z09E inkluderarUD; Z06E gör bara behöriga och källstödda uppdateringar.</x:v>
      </x:c>
      <x:c r="H49" s="19" t="str">
        <x:v>Konkurs ska inte automatiskt bli dödsfall; övrigaZ09ska inte fåUD.</x:v>
      </x:c>
      <x:c r="I49" s="19" t="str">
        <x:v>prodat business context</x:v>
      </x:c>
      <x:c r="J49" s="19" t="str">
        <x:v>P §2.2,2.6,bilaga1; HB kap.4.4</x:v>
      </x:c>
      <x:c r="K49" s="19" t="str">
        <x:v>Implementering och beteendeprov krävs; inte produktionsgodkänt av detta dokument.</x:v>
      </x:c>
      <x:c r="L49" s="19" t="str">
        <x:v>Ej verifierad</x:v>
      </x:c>
      <x:c r="M49" s="19" t="str">
        <x:v>AT-P-09</x:v>
      </x:c>
      <x:c r="N49" s="19" t="str">
        <x:v>https://www.elmarknadshandboken.se/Dokumentation/Texter/NEMHB.pdf</x:v>
      </x:c>
    </x:row>
    <x:row r="50" ht="50.400001525878906" customHeight="1">
      <x:c r="A50" s="19" t="str">
        <x:v>P-10</x:v>
      </x:c>
      <x:c r="B50" s="19" t="str">
        <x:v>Z01/Z02</x:v>
      </x:c>
      <x:c r="C50" s="19" t="str">
        <x:v>Ediel/Handbok</x:v>
      </x:c>
      <x:c r="D50" s="19" t="str">
        <x:v>Z01/Z02 i leverantörsrollen</x:v>
      </x:c>
      <x:c r="E50" s="19" t="str">
        <x:v>Uppgiftskontroll</x:v>
      </x:c>
      <x:c r="F50" s="19" t="str">
        <x:v>Korrelera Z02 till Z01 med LI, parter, objekt, nätområde och kundidentitet. Z02 är inte en startbekräftelse.</x:v>
      </x:c>
      <x:c r="G50" s="19" t="str">
        <x:v>Verifiera uppgifterna; gör därefter en separat prövning av om en Z03 ska skapas.</x:v>
      </x:c>
      <x:c r="H50" s="19" t="str">
        <x:v>Ingen aktiv leverans och ingen automatisk Z03 utan återstående avtals- och datumkontroller.</x:v>
      </x:c>
      <x:c r="I50" s="19" t="str">
        <x:v>customer info flow</x:v>
      </x:c>
      <x:c r="J50" s="19" t="str">
        <x:v>P bilaga1; HB kap.4</x:v>
      </x:c>
      <x:c r="K50" s="19" t="str">
        <x:v>Implementering och beteendeprov krävs; inte produktionsgodkänt av detta dokument.</x:v>
      </x:c>
      <x:c r="L50" s="19" t="str">
        <x:v>Ej verifierad</x:v>
      </x:c>
      <x:c r="M50" s="19" t="str">
        <x:v>AT-P-10</x:v>
      </x:c>
      <x:c r="N50" s="19" t="str">
        <x:v>https://www.elmarknadshandboken.se/Dokumentation/Texter/NEMHB.pdf</x:v>
      </x:c>
    </x:row>
    <x:row r="51" ht="50.400001525878906" customHeight="1">
      <x:c r="A51" s="19" t="str">
        <x:v>P-11</x:v>
      </x:c>
      <x:c r="B51" s="19" t="str">
        <x:v>Z03/Z04</x:v>
      </x:c>
      <x:c r="C51" s="19" t="str">
        <x:v>Ediel/Handbok</x:v>
      </x:c>
      <x:c r="D51" s="19" t="str">
        <x:v>Z03/Z04 av typen L eller LK</x:v>
      </x:c>
      <x:c r="E51" s="19" t="str">
        <x:v>Bekräftelse av byte eller flytt</x:v>
      </x:c>
      <x:c r="F51" s="19" t="str">
        <x:v>Kontrollera rätt objekt, parter, LI, undertyp och datum. En giltig Z04 kan komma före positiv APERAK.</x:v>
      </x:c>
      <x:c r="G51" s="19" t="str">
        <x:v>Registrera bekräftad framtida leverans; aktivera vid rätt tid om ärendet fortfarande är giltigt.</x:v>
      </x:c>
      <x:c r="H51" s="19" t="str">
        <x:v>SMTP250, CONTRL, APERAK och Z02 räcker inte för aktivering. Sena kvittenser får inte backa ett giltigt affärstillstånd.</x:v>
      </x:c>
      <x:c r="I51" s="19" t="str">
        <x:v>prodatLifecycle / supply period service</x:v>
      </x:c>
      <x:c r="J51" s="19" t="str">
        <x:v>P §3.2; HB kap.4</x:v>
      </x:c>
      <x:c r="K51" s="19" t="str">
        <x:v>Implementering och beteendeprov krävs; inte produktionsgodkänt av detta dokument.</x:v>
      </x:c>
      <x:c r="L51" s="19" t="str">
        <x:v>Ej verifierad</x:v>
      </x:c>
      <x:c r="M51" s="19" t="str">
        <x:v>AT-P-11</x:v>
      </x:c>
      <x:c r="N51" s="19" t="str">
        <x:v>https://www.elmarknadshandboken.se/Dokumentation/Texter/NEMHB.pdf</x:v>
      </x:c>
    </x:row>
    <x:row r="52" ht="50.400001525878906" customHeight="1">
      <x:c r="A52" s="19" t="str">
        <x:v>P-12</x:v>
      </x:c>
      <x:c r="B52" s="19" t="str">
        <x:v>Z04A/D</x:v>
      </x:c>
      <x:c r="C52" s="19" t="str">
        <x:v>Ediel/Handbok</x:v>
      </x:c>
      <x:c r="D52" s="19" t="str">
        <x:v>Z04A och Z04D</x:v>
      </x:c>
      <x:c r="E52" s="19" t="str">
        <x:v>Anvisning eller mottagningsplikt</x:v>
      </x:c>
      <x:c r="F52" s="19" t="str">
        <x:v>Verifiera respektive roll, avtal, nätområde och produktionskoppling.</x:v>
      </x:c>
      <x:c r="G52" s="19" t="str">
        <x:v>Använd en särskild transitionsprofil som inte kräver en vanlig egen Z03.</x:v>
      </x:c>
      <x:c r="H52" s="19" t="str">
        <x:v>Kräv inte samma förutsättningar som Z04L, men kringgå inte de särskilda behörighetskraven.</x:v>
      </x:c>
      <x:c r="I52" s="19" t="str">
        <x:v>prodatLifecycle</x:v>
      </x:c>
      <x:c r="J52" s="19" t="str">
        <x:v>P §2.1–2.2; HB kap.4,10</x:v>
      </x:c>
      <x:c r="K52" s="19" t="str">
        <x:v>Implementering och beteendeprov krävs; inte produktionsgodkänt av detta dokument.</x:v>
      </x:c>
      <x:c r="L52" s="19" t="str">
        <x:v>Ej verifierad</x:v>
      </x:c>
      <x:c r="M52" s="19" t="str">
        <x:v>AT-P-12</x:v>
      </x:c>
      <x:c r="N52" s="19" t="str">
        <x:v>https://www.elmarknadshandboken.se/Dokumentation/Texter/NEMHB.pdf</x:v>
      </x:c>
    </x:row>
    <x:row r="53" ht="50.400001525878906" customHeight="1">
      <x:c r="A53" s="19" t="str">
        <x:v>P-13</x:v>
      </x:c>
      <x:c r="B53" s="19" t="str">
        <x:v>Upphörande</x:v>
      </x:c>
      <x:c r="C53" s="19" t="str">
        <x:v>Ediel/Handbok</x:v>
      </x:c>
      <x:c r="D53" s="19" t="str">
        <x:v>Z05 och Z08</x:v>
      </x:c>
      <x:c r="E53" s="19" t="str">
        <x:v>Leveransslut</x:v>
      </x:c>
      <x:c r="F53" s="19" t="str">
        <x:v>Matcha den leveransrelation och den tidshändelse som faktiskt avses.</x:v>
      </x:c>
      <x:c r="G53" s="19" t="str">
        <x:v>Versionera slutet, bevara historiken och initiera relevant slutvärdes- och fakturauppföljning.</x:v>
      </x:c>
      <x:c r="H53" s="19" t="str">
        <x:v>Radera inte kunden, andra anläggningar eller ESCO-grants.</x:v>
      </x:c>
      <x:c r="I53" s="19" t="str">
        <x:v>supply period service</x:v>
      </x:c>
      <x:c r="J53" s="19" t="str">
        <x:v>P §2; HB kap.4; SYS</x:v>
      </x:c>
      <x:c r="K53" s="19" t="str">
        <x:v>Implementering och beteendeprov krävs; inte produktionsgodkänt av detta dokument.</x:v>
      </x:c>
      <x:c r="L53" s="19" t="str">
        <x:v>Ej verifierad</x:v>
      </x:c>
      <x:c r="M53" s="19" t="str">
        <x:v>AT-P-13</x:v>
      </x:c>
      <x:c r="N53" s="19" t="str">
        <x:v>https://www.elmarknadshandboken.se/Dokumentation/Texter/NEMHB.pdf</x:v>
      </x:c>
    </x:row>
    <x:row r="54" ht="50.400001525878906" customHeight="1">
      <x:c r="A54" s="19" t="str">
        <x:v>P-14</x:v>
      </x:c>
      <x:c r="B54" s="19" t="str">
        <x:v>Kancellering</x:v>
      </x:c>
      <x:c r="C54" s="19" t="str">
        <x:v>Ediel/Handbok</x:v>
      </x:c>
      <x:c r="D54" s="19" t="str">
        <x:v>Z03C, Z04C, Z05C och Z15C</x:v>
      </x:c>
      <x:c r="E54" s="19" t="str">
        <x:v>Återtag</x:v>
      </x:c>
      <x:c r="F54" s="19" t="str">
        <x:v>Bind till rätt original. Hantera ordningsfel utan dubbel affärseffekt.</x:v>
      </x:c>
      <x:c r="G54" s="19" t="str">
        <x:v>Gör endast den kancellering eller kompensation som hör till processen.</x:v>
      </x:c>
      <x:c r="H54" s="19" t="str">
        <x:v>Skapa inte Z13C/Z14C och använd inte en generell C-variant för alla Z-funktioner.</x:v>
      </x:c>
      <x:c r="I54" s="19" t="str">
        <x:v>cancellation coordinator</x:v>
      </x:c>
      <x:c r="J54" s="19" t="str">
        <x:v>P §2.1,2.2,1.7; HB kap.4,11</x:v>
      </x:c>
      <x:c r="K54" s="19" t="str">
        <x:v>Implementering och beteendeprov krävs; inte produktionsgodkänt av detta dokument.</x:v>
      </x:c>
      <x:c r="L54" s="19" t="str">
        <x:v>Ej verifierad</x:v>
      </x:c>
      <x:c r="M54" s="19" t="str">
        <x:v>AT-P-14</x:v>
      </x:c>
      <x:c r="N54" s="19" t="str">
        <x:v>https://www.elmarknadshandboken.se/Dokumentation/Texter/NEMHB.pdf</x:v>
      </x:c>
    </x:row>
    <x:row r="55" ht="50.400001525878906" customHeight="1">
      <x:c r="A55" s="19" t="str">
        <x:v>P-15</x:v>
      </x:c>
      <x:c r="B55" s="19" t="str">
        <x:v>Strukturhistorik</x:v>
      </x:c>
      <x:c r="C55" s="19" t="str">
        <x:v>Ediel/Handbok</x:v>
      </x:c>
      <x:c r="D55" s="19" t="str">
        <x:v>Z06 och Z10</x:v>
      </x:c>
      <x:c r="E55" s="19" t="str">
        <x:v>Giltig strukturändring</x:v>
      </x:c>
      <x:c r="F55" s="19" t="str">
        <x:v>Lagra giltighetstid och mottagningstid separat. En framtida leverantör kan behöva struktur före start.</x:v>
      </x:c>
      <x:c r="G55" s="19" t="str">
        <x:v>Använd rätt mätare, register och produkt för varje tidsperiod.</x:v>
      </x:c>
      <x:c r="H55" s="19" t="str">
        <x:v>Skriv inte över historiken i en enda global rad och dubbelräkna inte registerenergi.</x:v>
      </x:c>
      <x:c r="I55" s="19" t="str">
        <x:v>structural mutation service</x:v>
      </x:c>
      <x:c r="J55" s="19" t="str">
        <x:v>P §2.2; U §3.6.10,3.6.13</x:v>
      </x:c>
      <x:c r="K55" s="19" t="str">
        <x:v>Implementering och beteendeprov krävs; inte produktionsgodkänt av detta dokument.</x:v>
      </x:c>
      <x:c r="L55" s="19" t="str">
        <x:v>Ej verifierad</x:v>
      </x:c>
      <x:c r="M55" s="19" t="str">
        <x:v>AT-P-15</x:v>
      </x:c>
      <x:c r="N55" s="19" t="str">
        <x:v>https://www.ediel.se/Info/edielanvisningar</x:v>
      </x:c>
    </x:row>
    <x:row r="56" ht="50.400001525878906" customHeight="1">
      <x:c r="A56" s="19" t="str">
        <x:v>P-16</x:v>
      </x:c>
      <x:c r="B56" s="19" t="str">
        <x:v>Bilateralt</x:v>
      </x:c>
      <x:c r="C56" s="19" t="str">
        <x:v>Ediel/Handbok</x:v>
      </x:c>
      <x:c r="D56" s="19" t="str">
        <x:v>Z08LK, Z03H, Z04H, Z05H, Z04A och andra E34-fall</x:v>
      </x:c>
      <x:c r="E56" s="19" t="str">
        <x:v>Kapabilitetsprövning</x:v>
      </x:c>
      <x:c r="F56" s="19" t="str">
        <x:v>Kombinationen ska vara tillåten och omfattas av dokumenterad motpartsspecifik överenskommelse och implementation.</x:v>
      </x:c>
      <x:c r="G56" s="19" t="str">
        <x:v>Aktivera bara avtalad omfattning och giltighet.</x:v>
      </x:c>
      <x:c r="H56" s="19" t="str">
        <x:v>Ett globalt bilateral=true eller ett testgodkännande för annan aktör räcker inte.</x:v>
      </x:c>
      <x:c r="I56" s="19" t="str">
        <x:v>capability registry</x:v>
      </x:c>
      <x:c r="J56" s="19" t="str">
        <x:v>P s.65; SYS</x:v>
      </x:c>
      <x:c r="K56" s="19" t="str">
        <x:v>Implementering och beteendeprov krävs; inte produktionsgodkänt av detta dokument.</x:v>
      </x:c>
      <x:c r="L56" s="19" t="str">
        <x:v>Ej verifierad</x:v>
      </x:c>
      <x:c r="M56" s="19" t="str">
        <x:v>AT-P-16</x:v>
      </x:c>
      <x:c r="N56" s="19" t="str">
        <x:v>https://www.ediel.se/Info/edielanvisningar</x:v>
      </x:c>
    </x:row>
    <x:row r="57" ht="50.400001525878906" customHeight="1">
      <x:c r="A57" s="19" t="str">
        <x:v>P-17</x:v>
      </x:c>
      <x:c r="B57" s="19" t="str">
        <x:v>Sekvensfel</x:v>
      </x:c>
      <x:c r="C57" s="19" t="str">
        <x:v>Ediel/Handbok</x:v>
      </x:c>
      <x:c r="D57" s="19" t="str">
        <x:v>PRODAT med LIN-grupper</x:v>
      </x:c>
      <x:c r="E57" s="19" t="str">
        <x:v>Sekvenskontroll</x:v>
      </x:c>
      <x:c r="F57" s="19" t="str">
        <x:v>Första fält 314 ska vara 1 och följande nummer ska vara obrutet stigande.</x:v>
      </x:c>
      <x:c r="G57" s="19" t="str">
        <x:v>Fortsätt genom samtliga relevanta objekt och register.</x:v>
      </x:c>
      <x:c r="H57" s="19" t="str">
        <x:v>Avvisa hela meddelandet med P-APERAK BGM27 och relevant felinformation; tolka inte sekvensfelet som fel anläggnings-id.</x:v>
      </x:c>
      <x:c r="I57" s="19" t="str">
        <x:v>header validator</x:v>
      </x:c>
      <x:c r="J57" s="19" t="str">
        <x:v>P bilaga4 s.119</x:v>
      </x:c>
      <x:c r="K57" s="19" t="str">
        <x:v>Implementering och beteendeprov krävs; inte produktionsgodkänt av detta dokument.</x:v>
      </x:c>
      <x:c r="L57" s="19" t="str">
        <x:v>Ej verifierad</x:v>
      </x:c>
      <x:c r="M57" s="19" t="str">
        <x:v>AT-P-17</x:v>
      </x:c>
      <x:c r="N57" s="19" t="str">
        <x:v>https://www.ediel.se/Info/edielanvisningar</x:v>
      </x:c>
    </x:row>
    <x:row r="58" ht="50.400001525878906" customHeight="1">
      <x:c r="A58" s="19" t="str">
        <x:v>ESCO-01</x:v>
      </x:c>
      <x:c r="B58" s="19" t="str">
        <x:v>Tillstånd</x:v>
      </x:c>
      <x:c r="C58" s="19" t="str">
        <x:v>Ediel/Handbok</x:v>
      </x:c>
      <x:c r="D58" s="19" t="str">
        <x:v>Z13</x:v>
      </x:c>
      <x:c r="E58" s="19" t="str">
        <x:v>Ny rättighetsbegäran</x:v>
      </x:c>
      <x:c r="F58" s="19" t="str">
        <x:v>Verifiera legal DGI-aktör, slutkundsavtal, DSO-avtal och avsedd omfattning av objekt, period, produkter och ändamål.</x:v>
      </x:c>
      <x:c r="G58" s="19" t="str">
        <x:v>Skapa väntande begäran, knyt service_assignment och skicka rätt V/VH.</x:v>
      </x:c>
      <x:c r="H58" s="19" t="str">
        <x:v>Ett avtal med beneficiary-tenant ger inte ensamt rätt till kundens mätvärden.</x:v>
      </x:c>
      <x:c r="I58" s="19" t="str">
        <x:v>ESCO command service</x:v>
      </x:c>
      <x:c r="J58" s="19" t="str">
        <x:v>P §2.1,bilaga4; HB kap.11</x:v>
      </x:c>
      <x:c r="K58" s="19" t="str">
        <x:v>Implementering och beteendeprov krävs; inte produktionsgodkänt av detta dokument.</x:v>
      </x:c>
      <x:c r="L58" s="19" t="str">
        <x:v>Ej verifierad</x:v>
      </x:c>
      <x:c r="M58" s="19" t="str">
        <x:v>AT-ESCO-01</x:v>
      </x:c>
      <x:c r="N58" s="19" t="str">
        <x:v>https://www.elmarknadshandboken.se/Dokumentation/Texter/NEMHB.pdf</x:v>
      </x:c>
    </x:row>
    <x:row r="59" ht="50.400001525878906" customHeight="1">
      <x:c r="A59" s="19" t="str">
        <x:v>ESCO-02</x:v>
      </x:c>
      <x:c r="B59" s="19" t="str">
        <x:v>Tillstånd</x:v>
      </x:c>
      <x:c r="C59" s="19" t="str">
        <x:v>Ediel/Handbok</x:v>
      </x:c>
      <x:c r="D59" s="19" t="str">
        <x:v>Z13V respektive Z13VH</x:v>
      </x:c>
      <x:c r="E59" s="19" t="str">
        <x:v>Rapportperiod väljs</x:v>
      </x:c>
      <x:c r="F59" s="19" t="str">
        <x:v>V är löpande och VH avgränsad historik. Pröva treårsgräns och relevant nätavtalsperiod; VH kräver slutdatum.</x:v>
      </x:c>
      <x:c r="G59" s="19" t="str">
        <x:v>Behåll separata processer, timers och samordning av rättigheter.</x:v>
      </x:c>
      <x:c r="H59" s="19" t="str">
        <x:v>Använd inte VH för löpande rapportering och anta inte att slutkundens godkännande redan finns.</x:v>
      </x:c>
      <x:c r="I59" s="19" t="str">
        <x:v>ESCO permission state machine</x:v>
      </x:c>
      <x:c r="J59" s="19" t="str">
        <x:v>HB kap.11; P §2.2</x:v>
      </x:c>
      <x:c r="K59" s="19" t="str">
        <x:v>Implementering och beteendeprov krävs; inte produktionsgodkänt av detta dokument.</x:v>
      </x:c>
      <x:c r="L59" s="19" t="str">
        <x:v>Ej verifierad</x:v>
      </x:c>
      <x:c r="M59" s="19" t="str">
        <x:v>AT-ESCO-02</x:v>
      </x:c>
      <x:c r="N59" s="19" t="str">
        <x:v>https://www.elmarknadshandboken.se/Dokumentation/Texter/NEMHB.pdf</x:v>
      </x:c>
    </x:row>
    <x:row r="60" ht="50.400001525878906" customHeight="1">
      <x:c r="A60" s="19" t="str">
        <x:v>ESCO-03</x:v>
      </x:c>
      <x:c r="B60" s="19" t="str">
        <x:v>Tillstånd</x:v>
      </x:c>
      <x:c r="C60" s="19" t="str">
        <x:v>Ediel/Handbok</x:v>
      </x:c>
      <x:c r="D60" s="19" t="str">
        <x:v>Positiv APERAK på Z13</x:v>
      </x:c>
      <x:c r="E60" s="19" t="str">
        <x:v>Kvittens tas emot</x:v>
      </x:c>
      <x:c r="F60" s="19" t="str">
        <x:v>Kvittensen godkänner att begäran behandlas, inte slutkundens medgivande.</x:v>
      </x:c>
      <x:c r="G60" s="19" t="str">
        <x:v>Sätt awaiting_customer_decision och bevaka Z14/Z14N.</x:v>
      </x:c>
      <x:c r="H60" s="19" t="str">
        <x:v>Skapa varken market_permission eller aktiv elleverans enbart från APERAK.</x:v>
      </x:c>
      <x:c r="I60" s="19" t="str">
        <x:v>ACK→ESCO reducer</x:v>
      </x:c>
      <x:c r="J60" s="19" t="str">
        <x:v>HB kap.11</x:v>
      </x:c>
      <x:c r="K60" s="19" t="str">
        <x:v>Implementering och beteendeprov krävs; inte produktionsgodkänt av detta dokument.</x:v>
      </x:c>
      <x:c r="L60" s="19" t="str">
        <x:v>Ej verifierad</x:v>
      </x:c>
      <x:c r="M60" s="19" t="str">
        <x:v>AT-ESCO-03</x:v>
      </x:c>
      <x:c r="N60" s="19" t="str">
        <x:v>https://www.elmarknadshandboken.se/Dokumentation/Texter/NEMHB.pdf</x:v>
      </x:c>
    </x:row>
    <x:row r="61" ht="64.19999694824219" customHeight="1">
      <x:c r="A61" s="19" t="str">
        <x:v>ESCO-04</x:v>
      </x:c>
      <x:c r="B61" s="19" t="str">
        <x:v>Tillstånd</x:v>
      </x:c>
      <x:c r="C61" s="19" t="str">
        <x:v>Ediel/Handbok</x:v>
      </x:c>
      <x:c r="D61" s="19" t="str">
        <x:v>Z14V/Z14VH</x:v>
      </x:c>
      <x:c r="E61" s="19" t="str">
        <x:v>Positivt affärssvar</x:v>
      </x:c>
      <x:c r="F61" s="19" t="str">
        <x:v>A74 och rätt LI, aktör och kund. Föreskrivna objekt-, adress-, tillstånds- och perioduppgifter ska stämma. Bara godkända objekt omfattas.</x:v>
      </x:c>
      <x:c r="G61" s="19" t="str">
        <x:v>Skapa avgränsat market_permission; anslut därefter separat godkänd intern distribution.</x:v>
      </x:c>
      <x:c r="H61" s="19" t="str">
        <x:v>Bredda inte till samtliga kundens anläggningar eller andra tenants från ett godkänt objekt.</x:v>
      </x:c>
      <x:c r="I61" s="19" t="str">
        <x:v>ESCO reducer / grant gate</x:v>
      </x:c>
      <x:c r="J61" s="19" t="str">
        <x:v>P §2.2; HB kap.11</x:v>
      </x:c>
      <x:c r="K61" s="19" t="str">
        <x:v>Implementering och beteendeprov krävs; inte produktionsgodkänt av detta dokument.</x:v>
      </x:c>
      <x:c r="L61" s="19" t="str">
        <x:v>Ej verifierad</x:v>
      </x:c>
      <x:c r="M61" s="19" t="str">
        <x:v>AT-ESCO-04</x:v>
      </x:c>
      <x:c r="N61" s="19" t="str">
        <x:v>https://www.elmarknadshandboken.se/Dokumentation/Texter/NEMHB.pdf</x:v>
      </x:c>
    </x:row>
    <x:row r="62" ht="50.400001525878906" customHeight="1">
      <x:c r="A62" s="19" t="str">
        <x:v>ESCO-05</x:v>
      </x:c>
      <x:c r="B62" s="19" t="str">
        <x:v>Tillstånd</x:v>
      </x:c>
      <x:c r="C62" s="19" t="str">
        <x:v>Ediel/Handbok</x:v>
      </x:c>
      <x:c r="D62" s="19" t="str">
        <x:v>Z14N</x:v>
      </x:c>
      <x:c r="E62" s="19" t="str">
        <x:v>Aktivt eller passivt nekande</x:v>
      </x:c>
      <x:c r="F62" s="19" t="str">
        <x:v>A13 anger aktivt och A76 passivt nekande. Ett korrekt negativt affärssvar är inte ett protokollfel.</x:v>
      </x:c>
      <x:c r="G62" s="19" t="str">
        <x:v>Neka berörd begäran och informera ansvarig utan att exponera andra tenants.</x:v>
      </x:c>
      <x:c r="H62" s="19" t="str">
        <x:v>Skapa inte tillstånd eller negativ APERAK enbart för att nätägaren nekar begäran.</x:v>
      </x:c>
      <x:c r="I62" s="19" t="str">
        <x:v>ESCO reducer</x:v>
      </x:c>
      <x:c r="J62" s="19" t="str">
        <x:v>P §2.6; HB kap.11</x:v>
      </x:c>
      <x:c r="K62" s="19" t="str">
        <x:v>Implementering och beteendeprov krävs; inte produktionsgodkänt av detta dokument.</x:v>
      </x:c>
      <x:c r="L62" s="19" t="str">
        <x:v>Ej verifierad</x:v>
      </x:c>
      <x:c r="M62" s="19" t="str">
        <x:v>AT-ESCO-05</x:v>
      </x:c>
      <x:c r="N62" s="19" t="str">
        <x:v>https://www.elmarknadshandboken.se/Dokumentation/Texter/NEMHB.pdf</x:v>
      </x:c>
    </x:row>
    <x:row r="63" ht="64.19999694824219" customHeight="1">
      <x:c r="A63" s="19" t="str">
        <x:v>ESCO-06</x:v>
      </x:c>
      <x:c r="B63" s="19" t="str">
        <x:v>Tillstånd</x:v>
      </x:c>
      <x:c r="C63" s="19" t="str">
        <x:v>Ediel/Handbok</x:v>
      </x:c>
      <x:c r="D63" s="19" t="str">
        <x:v>Nya objekt under pågående Z13-begäran</x:v>
      </x:c>
      <x:c r="E63" s="19" t="str">
        <x:v>Ny Z13 önskas</x:v>
      </x:c>
      <x:c r="F63" s="19" t="str">
        <x:v>Koordinera samma aktör, kund och DSO. Tillkommande objekt kan kräva ny begäran; upprepning bedöms enligt Handboken, inte ett universellt negativt APERAK.</x:v>
      </x:c>
      <x:c r="G63" s="19" t="str">
        <x:v>Tillåt en relevant ny begäran med spårbar koppling till tidigare förlopp.</x:v>
      </x:c>
      <x:c r="H63" s="19" t="str">
        <x:v>Inför inte ett generellt förbud mot varje ny Z13 före 21 dagar och kringgå inte reglerna genom ett nytt internt tenant-id.</x:v>
      </x:c>
      <x:c r="I63" s="19" t="str">
        <x:v>ESCO coordinator</x:v>
      </x:c>
      <x:c r="J63" s="19" t="str">
        <x:v>P ändringslogg; HB kap.11</x:v>
      </x:c>
      <x:c r="K63" s="19" t="str">
        <x:v>Implementering och beteendeprov krävs; inte produktionsgodkänt av detta dokument.</x:v>
      </x:c>
      <x:c r="L63" s="19" t="str">
        <x:v>Ej verifierad</x:v>
      </x:c>
      <x:c r="M63" s="19" t="str">
        <x:v>AT-ESCO-06</x:v>
      </x:c>
      <x:c r="N63" s="19" t="str">
        <x:v>https://www.elmarknadshandboken.se/Dokumentation/Texter/NEMHB.pdf</x:v>
      </x:c>
    </x:row>
    <x:row r="64" ht="50.400001525878906" customHeight="1">
      <x:c r="A64" s="19" t="str">
        <x:v>ESCO-07</x:v>
      </x:c>
      <x:c r="B64" s="19" t="str">
        <x:v>Tillstånd</x:v>
      </x:c>
      <x:c r="C64" s="19" t="str">
        <x:v>Ediel/Handbok</x:v>
      </x:c>
      <x:c r="D64" s="19" t="str">
        <x:v>Z15V/Z15VH</x:v>
      </x:c>
      <x:c r="E64" s="19" t="str">
        <x:v>Upphörande eller historikslut</x:v>
      </x:c>
      <x:c r="F64" s="19" t="str">
        <x:v>Tillstånd, orsak, tidpunkt och process ska vara kända och överensstämmande.</x:v>
      </x:c>
      <x:c r="G64" s="19" t="str">
        <x:v>Avsluta bara berört marknadstillstånd eller historikjobb; bevara andra separata rättigheter.</x:v>
      </x:c>
      <x:c r="H64" s="19" t="str">
        <x:v>Historikslut får inte upphäva ett separat V-tillstånd. DDQ-leverans ska vara oförändrad.</x:v>
      </x:c>
      <x:c r="I64" s="19" t="str">
        <x:v>ESCO reducer</x:v>
      </x:c>
      <x:c r="J64" s="19" t="str">
        <x:v>P §2.2; HB kap.11</x:v>
      </x:c>
      <x:c r="K64" s="19" t="str">
        <x:v>Implementering och beteendeprov krävs; inte produktionsgodkänt av detta dokument.</x:v>
      </x:c>
      <x:c r="L64" s="19" t="str">
        <x:v>Ej verifierad</x:v>
      </x:c>
      <x:c r="M64" s="19" t="str">
        <x:v>AT-ESCO-07</x:v>
      </x:c>
      <x:c r="N64" s="19" t="str">
        <x:v>https://www.elmarknadshandboken.se/Dokumentation/Texter/NEMHB.pdf</x:v>
      </x:c>
    </x:row>
    <x:row r="65" ht="50.400001525878906" customHeight="1">
      <x:c r="A65" s="19" t="str">
        <x:v>ESCO-08</x:v>
      </x:c>
      <x:c r="B65" s="19" t="str">
        <x:v>Tillstånd</x:v>
      </x:c>
      <x:c r="C65" s="19" t="str">
        <x:v>Normkrav + intern verkställighet</x:v>
      </x:c>
      <x:c r="D65" s="19" t="str">
        <x:v>Z18V</x:v>
      </x:c>
      <x:c r="E65" s="19" t="str">
        <x:v>Begäran om avslut</x:v>
      </x:c>
      <x:c r="F65" s="19" t="str">
        <x:v>Behörig aktör ska avse rätt market_permission. Samordna beroenden från flera beneficiary-uppdrag.</x:v>
      </x:c>
      <x:c r="G65" s="19" t="str">
        <x:v>Skicka fält 327/324/325 och bevaka Z15. Begränsa intern åtkomst enligt aktuellt mandat.</x:v>
      </x:c>
      <x:c r="H65" s="19" t="str">
        <x:v>Säg inte upp ett gemensamt tillstånd på ett enskilt UI-klick utan kontroll av andra giltiga uppdrag.</x:v>
      </x:c>
      <x:c r="I65" s="19" t="str">
        <x:v>ESCO termination coordinator</x:v>
      </x:c>
      <x:c r="J65" s="19" t="str">
        <x:v>P §2.2; SYS</x:v>
      </x:c>
      <x:c r="K65" s="19" t="str">
        <x:v>Implementering och beteendeprov krävs; inte produktionsgodkänt av detta dokument.</x:v>
      </x:c>
      <x:c r="L65" s="19" t="str">
        <x:v>Ej verifierad</x:v>
      </x:c>
      <x:c r="M65" s="19" t="str">
        <x:v>AT-ESCO-08</x:v>
      </x:c>
      <x:c r="N65" s="19" t="str">
        <x:v>https://www.ediel.se/Info/edielanvisningar</x:v>
      </x:c>
    </x:row>
    <x:row r="66" ht="50.400001525878906" customHeight="1">
      <x:c r="A66" s="19" t="str">
        <x:v>ESCO-09</x:v>
      </x:c>
      <x:c r="B66" s="19" t="str">
        <x:v>Tillstånd</x:v>
      </x:c>
      <x:c r="C66" s="19" t="str">
        <x:v>Ediel/Handbok</x:v>
      </x:c>
      <x:c r="D66" s="19" t="str">
        <x:v>Z15C</x:v>
      </x:c>
      <x:c r="E66" s="19" t="str">
        <x:v>Tidigare upphörande återtas</x:v>
      </x:c>
      <x:c r="F66" s="19" t="str">
        <x:v>Kontrollera rätt ursprung och källstödda återställningsvillkor.</x:v>
      </x:c>
      <x:c r="G66" s="19" t="str">
        <x:v>Återställ marknadsrelationen; ompröva varje downstream-grant självständigt.</x:v>
      </x:c>
      <x:c r="H66" s="19" t="str">
        <x:v>Återuppliva inte utgångna kundavtal eller uttryckligen återkallade tenantbehörigheter.</x:v>
      </x:c>
      <x:c r="I66" s="19" t="str">
        <x:v>ESCO reducer / access grants</x:v>
      </x:c>
      <x:c r="J66" s="19" t="str">
        <x:v>P Z15C; HB kap.11; SYS</x:v>
      </x:c>
      <x:c r="K66" s="19" t="str">
        <x:v>Implementering och beteendeprov krävs; inte produktionsgodkänt av detta dokument.</x:v>
      </x:c>
      <x:c r="L66" s="19" t="str">
        <x:v>Ej verifierad</x:v>
      </x:c>
      <x:c r="M66" s="19" t="str">
        <x:v>AT-ESCO-09</x:v>
      </x:c>
      <x:c r="N66" s="19" t="str">
        <x:v>https://www.elmarknadshandboken.se/Dokumentation/Texter/NEMHB.pdf</x:v>
      </x:c>
    </x:row>
    <x:row r="67" ht="50.400001525878906" customHeight="1">
      <x:c r="A67" s="19" t="str">
        <x:v>ESCO-10</x:v>
      </x:c>
      <x:c r="B67" s="19" t="str">
        <x:v>Datadistribution</x:v>
      </x:c>
      <x:c r="C67" s="19" t="str">
        <x:v>Ediel/Handbok</x:v>
      </x:c>
      <x:c r="D67" s="19" t="str">
        <x:v>E66 i DGI-rollen</x:v>
      </x:c>
      <x:c r="E67" s="19" t="str">
        <x:v>Mätvärden tas emot</x:v>
      </x:c>
      <x:c r="F67" s="19" t="str">
        <x:v>E66 kan sakna direkt tillstånds-id. Matcha juridisk relation, objekt, produkt, period och giltig tillstånds-/grantkoppling.</x:v>
      </x:c>
      <x:c r="G67" s="19" t="str">
        <x:v>Lagra mottagningsbevis och distribuera endast till uttryckligen berättigade tenants.</x:v>
      </x:c>
      <x:c r="H67" s="19" t="str">
        <x:v>Kräv inte ett påhittat permission-fält i E66. Matcha inte enbart på GSRN eller SMTP-adress.</x:v>
      </x:c>
      <x:c r="I67" s="19" t="str">
        <x:v>UTILTS resolver / grants</x:v>
      </x:c>
      <x:c r="J67" s="19" t="str">
        <x:v>U §3.7–3.9; SYS</x:v>
      </x:c>
      <x:c r="K67" s="19" t="str">
        <x:v>Implementering och beteendeprov krävs; inte produktionsgodkänt av detta dokument.</x:v>
      </x:c>
      <x:c r="L67" s="19" t="str">
        <x:v>Ej verifierad</x:v>
      </x:c>
      <x:c r="M67" s="19" t="str">
        <x:v>AT-ESCO-10</x:v>
      </x:c>
      <x:c r="N67" s="19" t="str">
        <x:v>https://www.ediel.se/Info/edielanvisningar</x:v>
      </x:c>
    </x:row>
    <x:row r="68" ht="50.400001525878906" customHeight="1">
      <x:c r="A68" s="19" t="str">
        <x:v>ESCO-11</x:v>
      </x:c>
      <x:c r="B68" s="19" t="str">
        <x:v>Datadistribution</x:v>
      </x:c>
      <x:c r="C68" s="19" t="str">
        <x:v>Intern arkitektur</x:v>
      </x:c>
      <x:c r="D68" s="19" t="str">
        <x:v>Intern vidareanvändning av E66-DGI</x:v>
      </x:c>
      <x:c r="E68" s="19" t="str">
        <x:v>Data används i annan tjänst</x:v>
      </x:c>
      <x:c r="F68" s="19" t="str">
        <x:v>Tillåtet ändamål, rättslig/datamässig grund och processtillämplighet ska verifieras uttryckligen.</x:v>
      </x:c>
      <x:c r="G68" s="19" t="str">
        <x:v>Bevara originalets DGI-roll, avsändare, kvalitet och syfte i varje härledd projektion.</x:v>
      </x:c>
      <x:c r="H68" s="19" t="str">
        <x:v>Skriv inte om DGI till DDQ och skapa inte en falsk E66 från nätägaren för att passa faktureringen.</x:v>
      </x:c>
      <x:c r="I68" s="19" t="str">
        <x:v>data usage policy</x:v>
      </x:c>
      <x:c r="J68" s="19" t="str">
        <x:v>HB kap.11; SYS</x:v>
      </x:c>
      <x:c r="K68" s="19" t="str">
        <x:v>Implementering och beteendeprov krävs; inte produktionsgodkänt av detta dokument.</x:v>
      </x:c>
      <x:c r="L68" s="19" t="str">
        <x:v>Ej verifierad</x:v>
      </x:c>
      <x:c r="M68" s="19" t="str">
        <x:v>AT-ESCO-11</x:v>
      </x:c>
      <x:c r="N68" s="19" t="str">
        <x:v>https://www.elmarknadshandboken.se/Dokumentation/Texter/NEMHB.pdf</x:v>
      </x:c>
    </x:row>
    <x:row r="69" ht="50.400001525878906" customHeight="1">
      <x:c r="A69" s="19" t="str">
        <x:v>ACK-01</x:v>
      </x:c>
      <x:c r="B69" s="19" t="str">
        <x:v>CONTRL</x:v>
      </x:c>
      <x:c r="C69" s="19" t="str">
        <x:v>Ediel/Handbok</x:v>
      </x:c>
      <x:c r="D69" s="19" t="str">
        <x:v>Alla inkommande EDIFACT utom CONTRL</x:v>
      </x:c>
      <x:c r="E69" s="19" t="str">
        <x:v>Syntaxresultat finns</x:v>
      </x:c>
      <x:c r="F69" s="19" t="str">
        <x:v>Använd CONTRL:2:2:UN och resultatkod 1/4 på rätt korrelationsnivå.</x:v>
      </x:c>
      <x:c r="G69" s="19" t="str">
        <x:v>Larma vid negativt resultat och undvik kvittensloop.</x:v>
      </x:c>
      <x:c r="H69" s="19" t="str">
        <x:v>Lägg inte nationell APERAK-kontroll i CONTRL.</x:v>
      </x:c>
      <x:c r="I69" s="19" t="str">
        <x:v>canonicalAckEngine / syntax engine</x:v>
      </x:c>
      <x:c r="J69" s="19" t="str">
        <x:v>T §2.1</x:v>
      </x:c>
      <x:c r="K69" s="19" t="str">
        <x:v>Implementering och beteendeprov krävs; inte produktionsgodkänt av detta dokument.</x:v>
      </x:c>
      <x:c r="L69" s="19" t="str">
        <x:v>Ej verifierad</x:v>
      </x:c>
      <x:c r="M69" s="19" t="str">
        <x:v>AT-ACK-01</x:v>
      </x:c>
      <x:c r="N69" s="19" t="str">
        <x:v>https://www.ediel.se/Info/edielanvisningar</x:v>
      </x:c>
    </x:row>
    <x:row r="70" ht="50.400001525878906" customHeight="1">
      <x:c r="A70" s="19" t="str">
        <x:v>ACK-02</x:v>
      </x:c>
      <x:c r="B70" s="19" t="str">
        <x:v>P-APERAK</x:v>
      </x:c>
      <x:c r="C70" s="19" t="str">
        <x:v>Ediel/Handbok</x:v>
      </x:c>
      <x:c r="D70" s="19" t="str">
        <x:v>APERAK på PRODAT</x:v>
      </x:c>
      <x:c r="E70" s="19" t="str">
        <x:v>Applikationsresultat finns</x:v>
      </x:c>
      <x:c r="F70" s="19" t="str">
        <x:v>D96A/E2SE6A; BGM27 för avvisat helt meddelande eller 34 för behandlat; ERC40/41/42/100 och ACW till originalets BGM-id.</x:v>
      </x:c>
      <x:c r="G70" s="19" t="str">
        <x:v>Bygg RFF+Z07/LI när uppgifterna finns och korrekt fält- eller särskild felreferens.</x:v>
      </x:c>
      <x:c r="H70" s="19" t="str">
        <x:v>Använd inte UTILTS-APERAK:s BGM312/313 eller dess transaktions-ACW för PRODAT.</x:v>
      </x:c>
      <x:c r="I70" s="19" t="str">
        <x:v>P acknowledgement builder</x:v>
      </x:c>
      <x:c r="J70" s="19" t="str">
        <x:v>P §3.3–3.5</x:v>
      </x:c>
      <x:c r="K70" s="19" t="str">
        <x:v>Implementering och beteendeprov krävs; inte produktionsgodkänt av detta dokument.</x:v>
      </x:c>
      <x:c r="L70" s="19" t="str">
        <x:v>Ej verifierad</x:v>
      </x:c>
      <x:c r="M70" s="19" t="str">
        <x:v>AT-ACK-02</x:v>
      </x:c>
      <x:c r="N70" s="19" t="str">
        <x:v>https://www.ediel.se/Info/edielanvisningar</x:v>
      </x:c>
    </x:row>
    <x:row r="71" ht="50.400001525878906" customHeight="1">
      <x:c r="A71" s="19" t="str">
        <x:v>ACK-03</x:v>
      </x:c>
      <x:c r="B71" s="19" t="str">
        <x:v>U-APERAK</x:v>
      </x:c>
      <x:c r="C71" s="19" t="str">
        <x:v>Ediel/Handbok</x:v>
      </x:c>
      <x:c r="D71" s="19" t="str">
        <x:v>APERAK på UTILTS</x:v>
      </x:c>
      <x:c r="E71" s="19" t="str">
        <x:v>Anvisnings-/funktionsutfall finns</x:v>
      </x:c>
      <x:c r="F71" s="19" t="str">
        <x:v>D04A/E5SE5A; BGM312 positivt eller313 negativt; DOC till originaltyp/BGM, DM för eget transaktions-id och ACW till originalets IDE-id.</x:v>
      </x:c>
      <x:c r="G71" s="19" t="str">
        <x:v>Håll positiva och negativa transaktioner i skilda APERAK. Ange inte påhittad IDE-referens vid huvudfel.</x:v>
      </x:c>
      <x:c r="H71" s="19" t="str">
        <x:v>Använd inte PRODAT-BGM34 eller generiska ERC40-specialkoder utan stöd i UTILTS-guiden.</x:v>
      </x:c>
      <x:c r="I71" s="19" t="str">
        <x:v>U acknowledgement builder</x:v>
      </x:c>
      <x:c r="J71" s="19" t="str">
        <x:v>U §5.3–5.5</x:v>
      </x:c>
      <x:c r="K71" s="19" t="str">
        <x:v>Implementering och beteendeprov krävs; inte produktionsgodkänt av detta dokument.</x:v>
      </x:c>
      <x:c r="L71" s="19" t="str">
        <x:v>Ej verifierad</x:v>
      </x:c>
      <x:c r="M71" s="19" t="str">
        <x:v>AT-ACK-03</x:v>
      </x:c>
      <x:c r="N71" s="19" t="str">
        <x:v>https://www.ediel.se/Info/edielanvisningar</x:v>
      </x:c>
    </x:row>
    <x:row r="72" ht="50.400001525878906" customHeight="1">
      <x:c r="A72" s="19" t="str">
        <x:v>ACK-04</x:v>
      </x:c>
      <x:c r="B72" s="19" t="str">
        <x:v>U-APERAK</x:v>
      </x:c>
      <x:c r="C72" s="19" t="str">
        <x:v>Ediel/Handbok</x:v>
      </x:c>
      <x:c r="D72" s="19" t="str">
        <x:v>UTILTS-APERAK ERC/FTX</x:v>
      </x:c>
      <x:c r="E72" s="19" t="str">
        <x:v>Svar byggs</x:v>
      </x:c>
      <x:c r="F72" s="19" t="str">
        <x:v>ERC100 ger OK; 41 ger MANDATORY FIELD MISSING; 42 ger INCORRECT DATA XXX. Riktig fältreferens krävs vid41/42.</x:v>
      </x:c>
      <x:c r="G72" s="19" t="str">
        <x:v>Bygg exakt referens och korrekt frisläppning; begränsa känsliga uppgifter i loggar.</x:v>
      </x:c>
      <x:c r="H72" s="19" t="str">
        <x:v>Härled inte ett fältnummer ur siffrorna i ett segmentnamn.</x:v>
      </x:c>
      <x:c r="I72" s="19" t="str">
        <x:v>error mapper</x:v>
      </x:c>
      <x:c r="J72" s="19" t="str">
        <x:v>U s.117–119</x:v>
      </x:c>
      <x:c r="K72" s="19" t="str">
        <x:v>Implementering och beteendeprov krävs; inte produktionsgodkänt av detta dokument.</x:v>
      </x:c>
      <x:c r="L72" s="19" t="str">
        <x:v>Ej verifierad</x:v>
      </x:c>
      <x:c r="M72" s="19" t="str">
        <x:v>AT-ACK-04</x:v>
      </x:c>
      <x:c r="N72" s="19" t="str">
        <x:v>https://www.ediel.se/Info/edielanvisningar</x:v>
      </x:c>
    </x:row>
    <x:row r="73" ht="50.400001525878906" customHeight="1">
      <x:c r="A73" s="19" t="str">
        <x:v>ACK-05</x:v>
      </x:c>
      <x:c r="B73" s="19" t="str">
        <x:v>UTILTS-ERR</x:v>
      </x:c>
      <x:c r="C73" s="19" t="str">
        <x:v>Ediel/Handbok</x:v>
      </x:c>
      <x:c r="D73" s="19" t="str">
        <x:v>UTILTS-ERR</x:v>
      </x:c>
      <x:c r="E73" s="19" t="str">
        <x:v>Godkänd anvisningskontroll men funktionsfel</x:v>
      </x:c>
      <x:c r="F73" s="19" t="str">
        <x:v>Wirefamiljen är UTILTS med BGM ERR. Referera rätt originaltyp, BGM-id och transaktions-id samt avvisningsorsak.</x:v>
      </x:c>
      <x:c r="G73" s="19" t="str">
        <x:v>Begär föreskriven APERAK och CONTRL på ERR; följ ERR:s egna fältvillkor.</x:v>
      </x:c>
      <x:c r="H73" s="19" t="str">
        <x:v>Skapa inte ERR på ERR eller APERAK på APERAK.</x:v>
      </x:c>
      <x:c r="I73" s="19" t="str">
        <x:v>UTILTS ERR builder / ACK graph</x:v>
      </x:c>
      <x:c r="J73" s="19" t="str">
        <x:v>U §3.4,4,5</x:v>
      </x:c>
      <x:c r="K73" s="19" t="str">
        <x:v>Implementering och beteendeprov krävs; inte produktionsgodkänt av detta dokument.</x:v>
      </x:c>
      <x:c r="L73" s="19" t="str">
        <x:v>Ej verifierad</x:v>
      </x:c>
      <x:c r="M73" s="19" t="str">
        <x:v>AT-ACK-05</x:v>
      </x:c>
      <x:c r="N73" s="19" t="str">
        <x:v>https://www.ediel.se/Info/edielanvisningar</x:v>
      </x:c>
    </x:row>
    <x:row r="74" ht="50.400001525878906" customHeight="1">
      <x:c r="A74" s="19" t="str">
        <x:v>ACK-06</x:v>
      </x:c>
      <x:c r="B74" s="19" t="str">
        <x:v>Korrelation</x:v>
      </x:c>
      <x:c r="C74" s="19" t="str">
        <x:v>Ediel/Handbok</x:v>
      </x:c>
      <x:c r="D74" s="19" t="str">
        <x:v>Mottagna kvittenser</x:v>
      </x:c>
      <x:c r="E74" s="19" t="str">
        <x:v>CONTRL/APERAK tas emot</x:v>
      </x:c>
      <x:c r="F74" s="19" t="str">
        <x:v>Bind föreskrivna referenser tillsammans med parter, marknad, roll, miljö och ursprungsfamilj.</x:v>
      </x:c>
      <x:c r="G74" s="19" t="str">
        <x:v>Uppdatera endast rätt kvitterade delar och deras delstatus.</x:v>
      </x:c>
      <x:c r="H74" s="19" t="str">
        <x:v>UCI, ACW eller LI utan aktörsscope får inte kopplas till en annan tenant.</x:v>
      </x:c>
      <x:c r="I74" s="19" t="str">
        <x:v>ACK correlator</x:v>
      </x:c>
      <x:c r="J74" s="19" t="str">
        <x:v>T §5.5; P §3; U §5</x:v>
      </x:c>
      <x:c r="K74" s="19" t="str">
        <x:v>Implementering och beteendeprov krävs; inte produktionsgodkänt av detta dokument.</x:v>
      </x:c>
      <x:c r="L74" s="19" t="str">
        <x:v>Ej verifierad</x:v>
      </x:c>
      <x:c r="M74" s="19" t="str">
        <x:v>AT-ACK-06</x:v>
      </x:c>
      <x:c r="N74" s="19" t="str">
        <x:v>https://www.ediel.se/Info/edielanvisningar</x:v>
      </x:c>
    </x:row>
    <x:row r="75" ht="50.400001525878906" customHeight="1">
      <x:c r="A75" s="19" t="str">
        <x:v>ACK-07</x:v>
      </x:c>
      <x:c r="B75" s="19" t="str">
        <x:v>Kvittenssanning</x:v>
      </x:c>
      <x:c r="C75" s="19" t="str">
        <x:v>Ediel/Handbok</x:v>
      </x:c>
      <x:c r="D75" s="19" t="str">
        <x:v>Redan kvitterat objekt/transaktion</x:v>
      </x:c>
      <x:c r="E75" s="19" t="str">
        <x:v>Senare kontroll upptäcker annat fel</x:v>
      </x:c>
      <x:c r="F75" s="19" t="str">
        <x:v>Ändra inte ett slutligt kvittensutfall genom att skicka motsatt APERAK på samma objekt/transaktion.</x:v>
      </x:c>
      <x:c r="G75" s="19" t="str">
        <x:v>Skapa incident och föreskriven kontakt; använd rätt rättelseprocess för ett nytt meddelande.</x:v>
      </x:c>
      <x:c r="H75" s="19" t="str">
        <x:v>Gör inte rollback följt av motsatt APERAK bara på grund av ett internt återförsök.</x:v>
      </x:c>
      <x:c r="I75" s="19" t="str">
        <x:v>ACK ledger / incidents</x:v>
      </x:c>
      <x:c r="J75" s="19" t="str">
        <x:v>P §3.2; U §5.2; T §2</x:v>
      </x:c>
      <x:c r="K75" s="19" t="str">
        <x:v>Implementering och beteendeprov krävs; inte produktionsgodkänt av detta dokument.</x:v>
      </x:c>
      <x:c r="L75" s="19" t="str">
        <x:v>Ej verifierad</x:v>
      </x:c>
      <x:c r="M75" s="19" t="str">
        <x:v>AT-ACK-07</x:v>
      </x:c>
      <x:c r="N75" s="19" t="str">
        <x:v>https://www.ediel.se/Info/edielanvisningar</x:v>
      </x:c>
    </x:row>
    <x:row r="76" ht="50.400001525878906" customHeight="1">
      <x:c r="A76" s="19" t="str">
        <x:v>ACK-08</x:v>
      </x:c>
      <x:c r="B76" s="19" t="str">
        <x:v>Delutfall</x:v>
      </x:c>
      <x:c r="C76" s="19" t="str">
        <x:v>Ediel/Handbok</x:v>
      </x:c>
      <x:c r="D76" s="19" t="str">
        <x:v>Flera objekt/transaktioner</x:v>
      </x:c>
      <x:c r="E76" s="19" t="str">
        <x:v>En del är fel</x:v>
      </x:c>
      <x:c r="F76" s="19" t="str">
        <x:v>PRODAT och UTILTS har skilda svarsstrukturer; huvudfel och delutfall separeras.</x:v>
      </x:c>
      <x:c r="G76" s="19" t="str">
        <x:v>Mutera och kvittera rätt omfattning. UTILTS positiva/negativa svar hålls åtskilda.</x:v>
      </x:c>
      <x:c r="H76" s="19" t="str">
        <x:v>Låt inte global hasFunctionalError välja en felklass för alla transaktioner.</x:v>
      </x:c>
      <x:c r="I76" s="19" t="str">
        <x:v>runtimeDecision / utiltsEngine</x:v>
      </x:c>
      <x:c r="J76" s="19" t="str">
        <x:v>P §3; U §5.2</x:v>
      </x:c>
      <x:c r="K76" s="19" t="str">
        <x:v>Implementering och beteendeprov krävs; inte produktionsgodkänt av detta dokument.</x:v>
      </x:c>
      <x:c r="L76" s="19" t="str">
        <x:v>Ej verifierad</x:v>
      </x:c>
      <x:c r="M76" s="19" t="str">
        <x:v>AT-ACK-08</x:v>
      </x:c>
      <x:c r="N76" s="19" t="str">
        <x:v>https://www.ediel.se/Info/edielanvisningar</x:v>
      </x:c>
    </x:row>
    <x:row r="77" ht="50.400001525878906" customHeight="1">
      <x:c r="A77" s="19" t="str">
        <x:v>ACK-09</x:v>
      </x:c>
      <x:c r="B77" s="19" t="str">
        <x:v>Dubbletter</x:v>
      </x:c>
      <x:c r="C77" s="19" t="str">
        <x:v>Ediel/Handbok</x:v>
      </x:c>
      <x:c r="D77" s="19" t="str">
        <x:v>Återleverans och dubbletter</x:v>
      </x:c>
      <x:c r="E77" s="19" t="str">
        <x:v>Inkommande identitet finns redan</x:v>
      </x:c>
      <x:c r="F77" s="19" t="str">
        <x:v>Skilj intern återkörning av sparad mottagning från en ny mottagen protokolldubblett.</x:v>
      </x:c>
      <x:c r="G77" s="19" t="str">
        <x:v>Undvik dubbla affärseffekter och ge det protokollföreskrivna dubblettsvaret.</x:v>
      </x:c>
      <x:c r="H77" s="19" t="str">
        <x:v>Idempotens får inte innebära att kvittenspliktig mottagning bara slängs tyst.</x:v>
      </x:c>
      <x:c r="I77" s="19" t="str">
        <x:v>inbox identity / ACK ledger</x:v>
      </x:c>
      <x:c r="J77" s="19" t="str">
        <x:v>T §2.1; P §3.2; SYS</x:v>
      </x:c>
      <x:c r="K77" s="19" t="str">
        <x:v>Implementering och beteendeprov krävs; inte produktionsgodkänt av detta dokument.</x:v>
      </x:c>
      <x:c r="L77" s="19" t="str">
        <x:v>Ej verifierad</x:v>
      </x:c>
      <x:c r="M77" s="19" t="str">
        <x:v>AT-ACK-09</x:v>
      </x:c>
      <x:c r="N77" s="19" t="str">
        <x:v>https://www.ediel.se/Info/edielanvisningar</x:v>
      </x:c>
    </x:row>
    <x:row r="78" ht="50.400001525878906" customHeight="1">
      <x:c r="A78" s="19" t="str">
        <x:v>U-01</x:v>
      </x:c>
      <x:c r="B78" s="19" t="str">
        <x:v>UTILTSroller</x:v>
      </x:c>
      <x:c r="C78" s="19" t="str">
        <x:v>Ediel/Handbok</x:v>
      </x:c>
      <x:c r="D78" s="19" t="str">
        <x:v>E66, S02, E31, S05 och requests</x:v>
      </x:c>
      <x:c r="E78" s="19" t="str">
        <x:v>Profil väljs</x:v>
      </x:c>
      <x:c r="F78" s="19" t="str">
        <x:v>Objektvärden, prognoser, aggregat och requests är uttryckligen skilda. Kontrollera aktuell roll, inte alltid en Supplier-gate.</x:v>
      </x:c>
      <x:c r="G78" s="19" t="str">
        <x:v>Tillåt stödd roll, funktion, riktning och produkt med rätt bevis.</x:v>
      </x:c>
      <x:c r="H78" s="19" t="str">
        <x:v>Parserstöd eller en exempel-E66 ger inte rätt att sända nätägarens E66 i produktion.</x:v>
      </x:c>
      <x:c r="I78" s="19" t="str">
        <x:v>utiltsMarketSemantics / context</x:v>
      </x:c>
      <x:c r="J78" s="19" t="str">
        <x:v>U §3.1; CODE; SYS</x:v>
      </x:c>
      <x:c r="K78" s="19" t="str">
        <x:v>Implementering och beteendeprov krävs; inte produktionsgodkänt av detta dokument.</x:v>
      </x:c>
      <x:c r="L78" s="19" t="str">
        <x:v>Ej verifierad</x:v>
      </x:c>
      <x:c r="M78" s="19" t="str">
        <x:v>AT-U-01</x:v>
      </x:c>
      <x:c r="N78" s="19" t="str">
        <x:v>https://www.ediel.se/Info/edielanvisningar</x:v>
      </x:c>
    </x:row>
    <x:row r="79" ht="50.400001525878906" customHeight="1">
      <x:c r="A79" s="19" t="str">
        <x:v>U-02</x:v>
      </x:c>
      <x:c r="B79" s="19" t="str">
        <x:v>UTILTSnivåer</x:v>
      </x:c>
      <x:c r="C79" s="19" t="str">
        <x:v>Ediel/Handbok</x:v>
      </x:c>
      <x:c r="D79" s="19" t="str">
        <x:v>Samtliga UTILTS</x:v>
      </x:c>
      <x:c r="E79" s="19" t="str">
        <x:v>Parsning</x:v>
      </x:c>
      <x:c r="F79" s="19" t="str">
        <x:v>Bevara huvud, SG5/IDE-transaktion och SEQ-observation samt varje upprepad grupp.</x:v>
      </x:c>
      <x:c r="G79" s="19" t="str">
        <x:v>En disposition per ursprungstransaktion; mätarställningar och energier separata.</x:v>
      </x:c>
      <x:c r="H79" s="19" t="str">
        <x:v>Använd inte första LOC eller QTY i hela filen för samtliga objekt.</x:v>
      </x:c>
      <x:c r="I79" s="19" t="str">
        <x:v>canonicalEdifactAst / UTILTS parser</x:v>
      </x:c>
      <x:c r="J79" s="19" t="str">
        <x:v>U §2,3.8–3.9</x:v>
      </x:c>
      <x:c r="K79" s="19" t="str">
        <x:v>Implementering och beteendeprov krävs; inte produktionsgodkänt av detta dokument.</x:v>
      </x:c>
      <x:c r="L79" s="19" t="str">
        <x:v>Ej verifierad</x:v>
      </x:c>
      <x:c r="M79" s="19" t="str">
        <x:v>AT-U-02</x:v>
      </x:c>
      <x:c r="N79" s="19" t="str">
        <x:v>https://www.ediel.se/Info/edielanvisningar</x:v>
      </x:c>
    </x:row>
    <x:row r="80" ht="64.19999694824219" customHeight="1">
      <x:c r="A80" s="19" t="str">
        <x:v>U-03</x:v>
      </x:c>
      <x:c r="B80" s="19" t="str">
        <x:v>UTILTSkontrollordning</x:v>
      </x:c>
      <x:c r="C80" s="19" t="str">
        <x:v>Ediel/Handbok</x:v>
      </x:c>
      <x:c r="D80" s="19" t="str">
        <x:v>Samtliga UTILTS</x:v>
      </x:c>
      <x:c r="E80" s="19" t="str">
        <x:v>Validering</x:v>
      </x:c>
      <x:c r="F80" s="19" t="str">
        <x:v>Syntax följs av huvudets anvisningskontroll, transaktionens anvisningskontroll och därefter funktionskontroll endast för godkänd transaktion.</x:v>
      </x:c>
      <x:c r="G80" s="19" t="str">
        <x:v>Lagra godkända transaktioner och kvittera varje utfall på rätt nivå.</x:v>
      </x:c>
      <x:c r="H80" s="19" t="str">
        <x:v>Ett guidefel för samma IDE får inte ersättas av ett senare E10/E50-funktionsfel.</x:v>
      </x:c>
      <x:c r="I80" s="19" t="str">
        <x:v>utiltsEngine / runtimeDecision</x:v>
      </x:c>
      <x:c r="J80" s="19" t="str">
        <x:v>U §5.2 s.107; bilaga1–2</x:v>
      </x:c>
      <x:c r="K80" s="19" t="str">
        <x:v>Implementering och beteendeprov krävs; inte produktionsgodkänt av detta dokument.</x:v>
      </x:c>
      <x:c r="L80" s="19" t="str">
        <x:v>Ej verifierad</x:v>
      </x:c>
      <x:c r="M80" s="19" t="str">
        <x:v>AT-U-03</x:v>
      </x:c>
      <x:c r="N80" s="19" t="str">
        <x:v>https://www.ediel.se/Info/edielanvisningar</x:v>
      </x:c>
    </x:row>
    <x:row r="81" ht="50.400001525878906" customHeight="1">
      <x:c r="A81" s="19" t="str">
        <x:v>U-04</x:v>
      </x:c>
      <x:c r="B81" s="19" t="str">
        <x:v>Äldredata</x:v>
      </x:c>
      <x:c r="C81" s="19" t="str">
        <x:v>Ediel/Handbok</x:v>
      </x:c>
      <x:c r="D81" s="19" t="str">
        <x:v>Äldre men i övrigt giltiga mätdata</x:v>
      </x:c>
      <x:c r="E81" s="19" t="str">
        <x:v>Sen leverans</x:v>
      </x:c>
      <x:c r="F81" s="19" t="str">
        <x:v>Ankomstordning ensam är inte avvisningsskäl. Använd registrerings-/uppdateringstid 512/532 för dataversionen.</x:v>
      </x:c>
      <x:c r="G81" s="19" t="str">
        <x:v>Sänd positiv APERAK när andra kontroller passerar och bevara äldre historik utan att skriva över nyare data.</x:v>
      </x:c>
      <x:c r="H81" s="19" t="str">
        <x:v>Skapa inte ERR eller retroaktiv fakturaändring enbart för att data anländer sent.</x:v>
      </x:c>
      <x:c r="I81" s="19" t="str">
        <x:v>measurement revision service</x:v>
      </x:c>
      <x:c r="J81" s="19" t="str">
        <x:v>U §3.6.14,5.2</x:v>
      </x:c>
      <x:c r="K81" s="19" t="str">
        <x:v>Implementering och beteendeprov krävs; inte produktionsgodkänt av detta dokument.</x:v>
      </x:c>
      <x:c r="L81" s="19" t="str">
        <x:v>Ej verifierad</x:v>
      </x:c>
      <x:c r="M81" s="19" t="str">
        <x:v>AT-U-04</x:v>
      </x:c>
      <x:c r="N81" s="19" t="str">
        <x:v>https://www.ediel.se/Info/edielanvisningar</x:v>
      </x:c>
    </x:row>
    <x:row r="82" ht="50.400001525878906" customHeight="1">
      <x:c r="A82" s="19" t="str">
        <x:v>U-05</x:v>
      </x:c>
      <x:c r="B82" s="19" t="str">
        <x:v>ESCOE66</x:v>
      </x:c>
      <x:c r="C82" s="19" t="str">
        <x:v>Ediel/Handbok</x:v>
      </x:c>
      <x:c r="D82" s="19" t="str">
        <x:v>E66 i DGI-rollen</x:v>
      </x:c>
      <x:c r="E82" s="19" t="str">
        <x:v>Periodisk rapportering</x:v>
      </x:c>
      <x:c r="F82" s="19" t="str">
        <x:v>Anledning ska vara E23, inte E88, om inte annat är uttryckligen överenskommet.</x:v>
      </x:c>
      <x:c r="G82" s="19" t="str">
        <x:v>Kontrollera roll, Application Reference, underordnad roll och behörigheter.</x:v>
      </x:c>
      <x:c r="H82" s="19" t="str">
        <x:v>Påför inte en global E88-fakturaprofil på DGI-trafik.</x:v>
      </x:c>
      <x:c r="I82" s="19" t="str">
        <x:v>utilts profile selector</x:v>
      </x:c>
      <x:c r="J82" s="19" t="str">
        <x:v>U ändringslogg25.A.2; OE exempel2g</x:v>
      </x:c>
      <x:c r="K82" s="19" t="str">
        <x:v>Implementering och beteendeprov krävs; inte produktionsgodkänt av detta dokument.</x:v>
      </x:c>
      <x:c r="L82" s="19" t="str">
        <x:v>Ej verifierad</x:v>
      </x:c>
      <x:c r="M82" s="19" t="str">
        <x:v>AT-U-05</x:v>
      </x:c>
      <x:c r="N82" s="19" t="str">
        <x:v>Se källregister och lokala bilagor i v2-paketet</x:v>
      </x:c>
    </x:row>
    <x:row r="83" ht="50.400001525878906" customHeight="1">
      <x:c r="A83" s="19" t="str">
        <x:v>U-06</x:v>
      </x:c>
      <x:c r="B83" s="19" t="str">
        <x:v>Request</x:v>
      </x:c>
      <x:c r="C83" s="19" t="str">
        <x:v>Ediel/Handbok</x:v>
      </x:c>
      <x:c r="D83" s="19" t="str">
        <x:v>E73 och E74</x:v>
      </x:c>
      <x:c r="E83" s="19" t="str">
        <x:v>Saknade värden identifieras</x:v>
      </x:c>
      <x:c r="F83" s="19" t="str">
        <x:v>Application Reference avser begärd S02/E66 respektive S03/E31. Objekt/områden, parter, produkt och period ska motsvara begäran.</x:v>
      </x:c>
      <x:c r="G83" s="19" t="str">
        <x:v>Skicka bara behörig request med tillämplig överenskommelse och bevaka resultatet.</x:v>
      </x:c>
      <x:c r="H83" s="19" t="str">
        <x:v>Bygg inte en generell 23-DGI-E73-referens och begär inte all data utan mandat.</x:v>
      </x:c>
      <x:c r="I83" s="19" t="str">
        <x:v>request planner / utiltsApplicationReference</x:v>
      </x:c>
      <x:c r="J83" s="19" t="str">
        <x:v>U §3.3,3.7.3</x:v>
      </x:c>
      <x:c r="K83" s="19" t="str">
        <x:v>Implementering och beteendeprov krävs; inte produktionsgodkänt av detta dokument.</x:v>
      </x:c>
      <x:c r="L83" s="19" t="str">
        <x:v>Ej verifierad</x:v>
      </x:c>
      <x:c r="M83" s="19" t="str">
        <x:v>AT-U-06</x:v>
      </x:c>
      <x:c r="N83" s="19" t="str">
        <x:v>https://www.ediel.se/Info/edielanvisningar</x:v>
      </x:c>
    </x:row>
    <x:row r="84" ht="50.400001525878906" customHeight="1">
      <x:c r="A84" s="19" t="str">
        <x:v>U-07</x:v>
      </x:c>
      <x:c r="B84" s="19" t="str">
        <x:v>Kapabilitet</x:v>
      </x:c>
      <x:c r="C84" s="19" t="str">
        <x:v>Ediel/Handbok</x:v>
      </x:c>
      <x:c r="D84" s="19" t="str">
        <x:v>S06, S08, E30, S01 och S04</x:v>
      </x:c>
      <x:c r="E84" s="19" t="str">
        <x:v>Kapabilitet prövas</x:v>
      </x:c>
      <x:c r="F84" s="19" t="str">
        <x:v>S06 är inte i bruk, S08 är avvecklat och andra profiler kräver andra roller än standard-DDQ/DGI.</x:v>
      </x:c>
      <x:c r="G84" s="19" t="str">
        <x:v>Håll historiska/diagnostiska adaptrar åtskilda från produktionsfunktioner.</x:v>
      </x:c>
      <x:c r="H84" s="19" t="str">
        <x:v>Giltig syntax innebär inte tillåten marknadsriktning.</x:v>
      </x:c>
      <x:c r="I84" s="19" t="str">
        <x:v>capability registry</x:v>
      </x:c>
      <x:c r="J84" s="19" t="str">
        <x:v>U §1.8,3.1</x:v>
      </x:c>
      <x:c r="K84" s="19" t="str">
        <x:v>Implementering och beteendeprov krävs; inte produktionsgodkänt av detta dokument.</x:v>
      </x:c>
      <x:c r="L84" s="19" t="str">
        <x:v>Ej verifierad</x:v>
      </x:c>
      <x:c r="M84" s="19" t="str">
        <x:v>AT-U-07</x:v>
      </x:c>
      <x:c r="N84" s="19" t="str">
        <x:v>https://www.ediel.se/Info/edielanvisningar</x:v>
      </x:c>
    </x:row>
    <x:row r="85" ht="50.400001525878906" customHeight="1">
      <x:c r="A85" s="19" t="str">
        <x:v>U-08</x:v>
      </x:c>
      <x:c r="B85" s="19" t="str">
        <x:v>Mätarstruktur</x:v>
      </x:c>
      <x:c r="C85" s="19" t="str">
        <x:v>Ediel/Handbok</x:v>
      </x:c>
      <x:c r="D85" s="19" t="str">
        <x:v>E66 med mätare/register</x:v>
      </x:c>
      <x:c r="E85" s="19" t="str">
        <x:v>Funktionskontroll</x:v>
      </x:c>
      <x:c r="F85" s="19" t="str">
        <x:v>Kontrollera mot faktiskt erhållen strukturinformation för perioden. ESCO-Z14 innehåller inte nödvändigtvis hela mätarstrukturen.</x:v>
      </x:c>
      <x:c r="G85" s="19" t="str">
        <x:v>Hantera eget strukturbevisgap internt när kontrollen är villkorad enligt guiden.</x:v>
      </x:c>
      <x:c r="H85" s="19" t="str">
        <x:v>Kräv inte hela leverantörens PRODAT-struktur av varje ESCO-mottagare.</x:v>
      </x:c>
      <x:c r="I85" s="19" t="str">
        <x:v>structure facts resolver</x:v>
      </x:c>
      <x:c r="J85" s="19" t="str">
        <x:v>U bilaga2 s.131; PZ14fält</x:v>
      </x:c>
      <x:c r="K85" s="19" t="str">
        <x:v>Implementering och beteendeprov krävs; inte produktionsgodkänt av detta dokument.</x:v>
      </x:c>
      <x:c r="L85" s="19" t="str">
        <x:v>Ej verifierad</x:v>
      </x:c>
      <x:c r="M85" s="19" t="str">
        <x:v>AT-U-08</x:v>
      </x:c>
      <x:c r="N85" s="19" t="str">
        <x:v>https://www.ediel.se/Info/edielanvisningar</x:v>
      </x:c>
    </x:row>
    <x:row r="86" ht="50.400001525878906" customHeight="1">
      <x:c r="A86" s="19" t="str">
        <x:v>U-09</x:v>
      </x:c>
      <x:c r="B86" s="19" t="str">
        <x:v>Observationer</x:v>
      </x:c>
      <x:c r="C86" s="19" t="str">
        <x:v>Ediel/Handbok</x:v>
      </x:c>
      <x:c r="D86" s="19" t="str">
        <x:v>Mätvärdesobservationer</x:v>
      </x:c>
      <x:c r="E86" s="19" t="str">
        <x:v>Lagring och fakturaunderlag</x:v>
      </x:c>
      <x:c r="F86" s="19" t="str">
        <x:v>NULL/saknat, noll, tecken, ställning, energi, effekt, kvalitet och upplösning är olika typer.</x:v>
      </x:c>
      <x:c r="G86" s="19" t="str">
        <x:v>Lagra decimaler och källkvalitet exakt med korrektionsspår.</x:v>
      </x:c>
      <x:c r="H86" s="19" t="str">
        <x:v>Fyll inte saknade värden med noll och använd inte årsprognos som faktisk kvartsenergi.</x:v>
      </x:c>
      <x:c r="I86" s="19" t="str">
        <x:v>measurement model / billing input</x:v>
      </x:c>
      <x:c r="J86" s="19" t="str">
        <x:v>U §3.6,3.7; SYS</x:v>
      </x:c>
      <x:c r="K86" s="19" t="str">
        <x:v>Implementering och beteendeprov krävs; inte produktionsgodkänt av detta dokument.</x:v>
      </x:c>
      <x:c r="L86" s="19" t="str">
        <x:v>Ej verifierad</x:v>
      </x:c>
      <x:c r="M86" s="19" t="str">
        <x:v>AT-U-09</x:v>
      </x:c>
      <x:c r="N86" s="19" t="str">
        <x:v>https://www.ediel.se/Info/edielanvisningar</x:v>
      </x:c>
    </x:row>
    <x:row r="87" ht="50.400001525878906" customHeight="1">
      <x:c r="A87" s="19" t="str">
        <x:v>U-10</x:v>
      </x:c>
      <x:c r="B87" s="19" t="str">
        <x:v>Periodregler</x:v>
      </x:c>
      <x:c r="C87" s="19" t="str">
        <x:v>Ediel/Handbok</x:v>
      </x:c>
      <x:c r="D87" s="19" t="str">
        <x:v>Period 245 och upplösning508</x:v>
      </x:c>
      <x:c r="E87" s="19" t="str">
        <x:v>Periodvalidering</x:v>
      </x:c>
      <x:c r="F87" s="19" t="str">
        <x:v>Beräkna intervall från faktisk period, produkt och fast tidszon. En kalendermånad är inte alltid30 dygn.</x:v>
      </x:c>
      <x:c r="G87" s="19" t="str">
        <x:v>Ett fullständigt24h-dygn i+CET har96 kvartar; andra perioder räknas uttryckligt.</x:v>
      </x:c>
      <x:c r="H87" s="19" t="str">
        <x:v>Hårdkoda inte96 för varje serie och använd inte energisumma som bevis på fullständighet.</x:v>
      </x:c>
      <x:c r="I87" s="19" t="str">
        <x:v>period validator</x:v>
      </x:c>
      <x:c r="J87" s="19" t="str">
        <x:v>U §3.6.18; bilaga2</x:v>
      </x:c>
      <x:c r="K87" s="19" t="str">
        <x:v>Implementering och beteendeprov krävs; inte produktionsgodkänt av detta dokument.</x:v>
      </x:c>
      <x:c r="L87" s="19" t="str">
        <x:v>Ej verifierad</x:v>
      </x:c>
      <x:c r="M87" s="19" t="str">
        <x:v>AT-U-10</x:v>
      </x:c>
      <x:c r="N87" s="19" t="str">
        <x:v>https://www.ediel.se/Info/edielanvisningar</x:v>
      </x:c>
    </x:row>
    <x:row r="88" ht="50.400001525878906" customHeight="1">
      <x:c r="A88" s="19" t="str">
        <x:v>U-11</x:v>
      </x:c>
      <x:c r="B88" s="19" t="str">
        <x:v>Oktoberregler</x:v>
      </x:c>
      <x:c r="C88" s="19" t="str">
        <x:v>Ediel/Handbok</x:v>
      </x:c>
      <x:c r="D88" s="19" t="str">
        <x:v>UTILTS25-A-4</x:v>
      </x:c>
      <x:c r="E88" s="19" t="str">
        <x:v>Datumstyrd aktivering</x:v>
      </x:c>
      <x:c r="F88" s="19" t="str">
        <x:v>E19 och ställnings-/energijämförelsen utgår. Energivärdeskontroller E97/E98/E90 avgränsas enligt guiden till E30/aggregat.</x:v>
      </x:c>
      <x:c r="G88" s="19" t="str">
        <x:v>Behåll obligatoriska fält, E87 och övriga tillämpliga kontroller oberoende av ändringen.</x:v>
      </x:c>
      <x:c r="H88" s="19" t="str">
        <x:v>En ofullständig kvartserie blir inte korrekt bara för att E19 försvinner.</x:v>
      </x:c>
      <x:c r="I88" s="19" t="str">
        <x:v>utilts25A4 / field validator</x:v>
      </x:c>
      <x:c r="J88" s="19" t="str">
        <x:v>U §1.8; bilaga2</x:v>
      </x:c>
      <x:c r="K88" s="19" t="str">
        <x:v>Tidigast 2026-10-01; före-datum-profilkräver25-A-3 originalkälla G01</x:v>
      </x:c>
      <x:c r="L88" s="19" t="str">
        <x:v>Ej verifierad</x:v>
      </x:c>
      <x:c r="M88" s="19" t="str">
        <x:v>AT-U-11</x:v>
      </x:c>
      <x:c r="N88" s="19" t="str">
        <x:v>https://www.ediel.se/Info/edielanvisningar</x:v>
      </x:c>
    </x:row>
    <x:row r="89" ht="50.400001525878906" customHeight="1">
      <x:c r="A89" s="19" t="str">
        <x:v>U-12</x:v>
      </x:c>
      <x:c r="B89" s="19" t="str">
        <x:v>Rapportering</x:v>
      </x:c>
      <x:c r="C89" s="19" t="str">
        <x:v>Ediel/Handbok</x:v>
      </x:c>
      <x:c r="D89" s="19" t="str">
        <x:v>UTILTS-batch</x:v>
      </x:c>
      <x:c r="E89" s="19" t="str">
        <x:v>Paketering</x:v>
      </x:c>
      <x:c r="F89" s="19" t="str">
        <x:v>Anledning till transaktionen är samma i meddelandet. Mätarbyte och olika skeden kan kräva separata underlag.</x:v>
      </x:c>
      <x:c r="G89" s="19" t="str">
        <x:v>Dela endast kompatibla grupper och bevara referenser och periodtäckning.</x:v>
      </x:c>
      <x:c r="H89" s="19" t="str">
        <x:v>Blanda inte E23/E88 bara för att anläggningen är densamma.</x:v>
      </x:c>
      <x:c r="I89" s="19" t="str">
        <x:v>UTILTS batch planner</x:v>
      </x:c>
      <x:c r="J89" s="19" t="str">
        <x:v>U §2,3.6.11,3.6.19</x:v>
      </x:c>
      <x:c r="K89" s="19" t="str">
        <x:v>Implementering och beteendeprov krävs; inte produktionsgodkänt av detta dokument.</x:v>
      </x:c>
      <x:c r="L89" s="19" t="str">
        <x:v>Ej verifierad</x:v>
      </x:c>
      <x:c r="M89" s="19" t="str">
        <x:v>AT-U-12</x:v>
      </x:c>
      <x:c r="N89" s="19" t="str">
        <x:v>https://www.ediel.se/Info/edielanvisningar</x:v>
      </x:c>
    </x:row>
    <x:row r="90" ht="50.400001525878906" customHeight="1">
      <x:c r="A90" s="19" t="str">
        <x:v>U-13</x:v>
      </x:c>
      <x:c r="B90" s="19" t="str">
        <x:v>Funktionskod</x:v>
      </x:c>
      <x:c r="C90" s="19" t="str">
        <x:v>Ediel/Handbok</x:v>
      </x:c>
      <x:c r="D90" s="19" t="str">
        <x:v>UTILTS-BGM</x:v>
      </x:c>
      <x:c r="E90" s="19" t="str">
        <x:v>Huvud byggs eller läses</x:v>
      </x:c>
      <x:c r="F90" s="19" t="str">
        <x:v>Skicka funktionskod9; ta emot5 utan avvisning enbart därför. Skicka AB; NA ensam är inte avvisningsgrund.</x:v>
      </x:c>
      <x:c r="G90" s="19" t="str">
        <x:v>Håll mottagningstolerans skild från utgående profil.</x:v>
      </x:c>
      <x:c r="H90" s="19" t="str">
        <x:v>Inför inte egna fel för värden guiden kräver att mottagaren kan hantera.</x:v>
      </x:c>
      <x:c r="I90" s="19" t="str">
        <x:v>UTILTS header validator</x:v>
      </x:c>
      <x:c r="J90" s="19" t="str">
        <x:v>U §3.9 BGM s.72</x:v>
      </x:c>
      <x:c r="K90" s="19" t="str">
        <x:v>Implementering och beteendeprov krävs; inte produktionsgodkänt av detta dokument.</x:v>
      </x:c>
      <x:c r="L90" s="19" t="str">
        <x:v>Ej verifierad</x:v>
      </x:c>
      <x:c r="M90" s="19" t="str">
        <x:v>AT-U-13</x:v>
      </x:c>
      <x:c r="N90" s="19" t="str">
        <x:v>https://www.ediel.se/Info/edielanvisningar</x:v>
      </x:c>
    </x:row>
    <x:row r="91" ht="50.400001525878906" customHeight="1">
      <x:c r="A91" s="19" t="str">
        <x:v>U-14</x:v>
      </x:c>
      <x:c r="B91" s="19" t="str">
        <x:v>Kvittensförelagring</x:v>
      </x:c>
      <x:c r="C91" s="19" t="str">
        <x:v>Ediel/Handbok</x:v>
      </x:c>
      <x:c r="D91" s="19" t="str">
        <x:v>Positiv APERAK på UTILTS</x:v>
      </x:c>
      <x:c r="E91" s="19" t="str">
        <x:v>Svar planeras</x:v>
      </x:c>
      <x:c r="F91" s="19" t="str">
        <x:v>Godkänd affärsbehandling och beständig lagring ska vara klara före extern positiv APERAK.</x:v>
      </x:c>
      <x:c r="G91" s="19" t="str">
        <x:v>Gör atomär lagring av accepterad data, disposition och ACK-avsikt.</x:v>
      </x:c>
      <x:c r="H91" s="19" t="str">
        <x:v>Kölagt eller bara mottaget är inte bevis på lagrade mätvärden.</x:v>
      </x:c>
      <x:c r="I91" s="19" t="str">
        <x:v>inbox transaction service</x:v>
      </x:c>
      <x:c r="J91" s="19" t="str">
        <x:v>U §5.2; SYS</x:v>
      </x:c>
      <x:c r="K91" s="19" t="str">
        <x:v>Implementering och beteendeprov krävs; inte produktionsgodkänt av detta dokument.</x:v>
      </x:c>
      <x:c r="L91" s="19" t="str">
        <x:v>Ej verifierad</x:v>
      </x:c>
      <x:c r="M91" s="19" t="str">
        <x:v>AT-U-14</x:v>
      </x:c>
      <x:c r="N91" s="19" t="str">
        <x:v>https://www.ediel.se/Info/edielanvisningar</x:v>
      </x:c>
    </x:row>
    <x:row r="92" ht="50.400001525878906" customHeight="1">
      <x:c r="A92" s="19" t="str">
        <x:v>TR-01</x:v>
      </x:c>
      <x:c r="B92" s="19" t="str">
        <x:v>Transport</x:v>
      </x:c>
      <x:c r="C92" s="19" t="str">
        <x:v>Ediel/Handbok</x:v>
      </x:c>
      <x:c r="D92" s="19" t="str">
        <x:v>Edieltrafik respektive applikationsmejl</x:v>
      </x:c>
      <x:c r="E92" s="19" t="str">
        <x:v>Sändning</x:v>
      </x:c>
      <x:c r="F92" s="19" t="str">
        <x:v>PRODAT använder SMTP/MIME/S-MIME enligt register och säkerhetsprofil. Resend-kundmejl är en separat kanal utan tyst fallback.</x:v>
      </x:c>
      <x:c r="G92" s="19" t="str">
        <x:v>Använd konfigurerad Edieltransport och rätt motpart.</x:v>
      </x:c>
      <x:c r="H92" s="19" t="str">
        <x:v>Skicka inte bytesfiler till Edielportalens testmottagare i produktion.</x:v>
      </x:c>
      <x:c r="I92" s="19" t="str">
        <x:v>sendEdielEmail / transport adapter</x:v>
      </x:c>
      <x:c r="J92" s="19" t="str">
        <x:v>T §3,5,bilagaA; befintlig kod</x:v>
      </x:c>
      <x:c r="K92" s="19" t="str">
        <x:v>Implementering och beteendeprov krävs; inte produktionsgodkänt av detta dokument.</x:v>
      </x:c>
      <x:c r="L92" s="19" t="str">
        <x:v>Ej verifierad</x:v>
      </x:c>
      <x:c r="M92" s="19" t="str">
        <x:v>AT-TR-01</x:v>
      </x:c>
      <x:c r="N92" s="19" t="str">
        <x:v>https://www.ediel.se/Info/edielanvisningar</x:v>
      </x:c>
    </x:row>
    <x:row r="93" ht="50.400001525878906" customHeight="1">
      <x:c r="A93" s="19" t="str">
        <x:v>TR-02</x:v>
      </x:c>
      <x:c r="B93" s="19" t="str">
        <x:v>Transportbevis</x:v>
      </x:c>
      <x:c r="C93" s="19" t="str">
        <x:v>Ediel/Handbok</x:v>
      </x:c>
      <x:c r="D93" s="19" t="str">
        <x:v>SMTP-försök</x:v>
      </x:c>
      <x:c r="E93" s="19" t="str">
        <x:v>250/4xx/5xx/timeout</x:v>
      </x:c>
      <x:c r="F93" s="19" t="str">
        <x:v>SMTP-acceptans, slutlig transportleverans, CONTRL, APERAK och affärssvar är separata observationer.</x:v>
      </x:c>
      <x:c r="G93" s="19" t="str">
        <x:v>Spara kö-id, SMTP-status, RFC Message-ID, payloadhash och exakt försök.</x:v>
      </x:c>
      <x:c r="H93" s="19" t="str">
        <x:v>Låt inte sent betyda leveransaktiv. Okänt sändningsutfall ska förbli uttryckligen okänt.</x:v>
      </x:c>
      <x:c r="I93" s="19" t="str">
        <x:v>transport attempt ledger</x:v>
      </x:c>
      <x:c r="J93" s="19" t="str">
        <x:v>T §2,7.7; SYS</x:v>
      </x:c>
      <x:c r="K93" s="19" t="str">
        <x:v>Implementering och beteendeprov krävs; inte produktionsgodkänt av detta dokument.</x:v>
      </x:c>
      <x:c r="L93" s="19" t="str">
        <x:v>Ej verifierad</x:v>
      </x:c>
      <x:c r="M93" s="19" t="str">
        <x:v>AT-TR-02</x:v>
      </x:c>
      <x:c r="N93" s="19" t="str">
        <x:v>https://www.ediel.se/Info/edielanvisningar</x:v>
      </x:c>
    </x:row>
    <x:row r="94" ht="50.400001525878906" customHeight="1">
      <x:c r="A94" s="19" t="str">
        <x:v>TR-03</x:v>
      </x:c>
      <x:c r="B94" s="19" t="str">
        <x:v>Transportbevis</x:v>
      </x:c>
      <x:c r="C94" s="19" t="str">
        <x:v>Intern arkitektur</x:v>
      </x:c>
      <x:c r="D94" s="19" t="str">
        <x:v>MIME-arkiv</x:v>
      </x:c>
      <x:c r="E94" s="19" t="str">
        <x:v>Före första sändning</x:v>
      </x:c>
      <x:c r="F94" s="19" t="str">
        <x:v>En stabil RFC Message-ID ska finnas i innehållet. Bevara exakta rå-EML-byte i skyddat arkiv.</x:v>
      </x:c>
      <x:c r="G94" s="19" t="str">
        <x:v>Lagra provider-id separat och sammanhåll identiteterna.</x:v>
      </x:c>
      <x:c r="H94" s="19" t="str">
        <x:v>Spara inte enbart förhandsvisning eller en pseudoreferens utan hämtningsbart innehåll.</x:v>
      </x:c>
      <x:c r="I94" s="19" t="str">
        <x:v>MIME builder / archive</x:v>
      </x:c>
      <x:c r="J94" s="19" t="str">
        <x:v>SYS; T §7.7</x:v>
      </x:c>
      <x:c r="K94" s="19" t="str">
        <x:v>Implementering och beteendeprov krävs; inte produktionsgodkänt av detta dokument.</x:v>
      </x:c>
      <x:c r="L94" s="19" t="str">
        <x:v>Ej verifierad</x:v>
      </x:c>
      <x:c r="M94" s="19" t="str">
        <x:v>AT-TR-03</x:v>
      </x:c>
      <x:c r="N94" s="19" t="str">
        <x:v>https://www.ediel.se/Info/edielanvisningar</x:v>
      </x:c>
    </x:row>
    <x:row r="95" ht="50.400001525878906" customHeight="1">
      <x:c r="A95" s="19" t="str">
        <x:v>TR-04</x:v>
      </x:c>
      <x:c r="B95" s="19" t="str">
        <x:v>SMTP/DSN</x:v>
      </x:c>
      <x:c r="C95" s="19" t="str">
        <x:v>Ediel/Handbok</x:v>
      </x:c>
      <x:c r="D95" s="19" t="str">
        <x:v>SMTP-returbrev</x:v>
      </x:c>
      <x:c r="E95" s="19" t="str">
        <x:v>Inkommande e-post</x:v>
      </x:c>
      <x:c r="F95" s="19" t="str">
        <x:v>Klassificera multipart/report och delivery-status före EDIFACT-utdrag.</x:v>
      </x:c>
      <x:c r="G95" s="19" t="str">
        <x:v>Knyt Final-Recipient, Action, Status, Diagnostic-Code och originalidentiteter till rätt försök.</x:v>
      </x:c>
      <x:c r="H95" s="19" t="str">
        <x:v>En inbäddad originalfil får inte skapa ett nytt inkommande affärsärende.</x:v>
      </x:c>
      <x:c r="I95" s="19" t="str">
        <x:v>inbound-mail processor</x:v>
      </x:c>
      <x:c r="J95" s="19" t="str">
        <x:v>T bilagaA s.55–56; SYS</x:v>
      </x:c>
      <x:c r="K95" s="19" t="str">
        <x:v>Implementering och beteendeprov krävs; inte produktionsgodkänt av detta dokument.</x:v>
      </x:c>
      <x:c r="L95" s="19" t="str">
        <x:v>Ej verifierad</x:v>
      </x:c>
      <x:c r="M95" s="19" t="str">
        <x:v>AT-TR-04</x:v>
      </x:c>
      <x:c r="N95" s="19" t="str">
        <x:v>Se källregister och lokala bilagor i v2-paketet</x:v>
      </x:c>
    </x:row>
    <x:row r="96" ht="64.19999694824219" customHeight="1">
      <x:c r="A96" s="19" t="str">
        <x:v>TR-05</x:v>
      </x:c>
      <x:c r="B96" s="19" t="str">
        <x:v>Omsändning</x:v>
      </x:c>
      <x:c r="C96" s="19" t="str">
        <x:v>Ediel/Handbok</x:v>
      </x:c>
      <x:c r="D96" s="19" t="str">
        <x:v>PRODAT-omsändning/rättelse</x:v>
      </x:c>
      <x:c r="E96" s="19" t="str">
        <x:v>Fel eller timeout</x:v>
      </x:c>
      <x:c r="F96" s="19" t="str">
        <x:v>Omsändning tillåts vid verifierad överföringsförlust. Negativ CONTRL medför rättelse av hela meddelandet; negativ APERAK följer särskild rättelse med nytt BGM-id.</x:v>
      </x:c>
      <x:c r="G96" s="19" t="str">
        <x:v>Bevara lineage och pröva aktuell anvisning på nytt.</x:v>
      </x:c>
      <x:c r="H96" s="19" t="str">
        <x:v>En utgången timer ensam är inget tillstånd till automatisk ny sändning.</x:v>
      </x:c>
      <x:c r="I96" s="19" t="str">
        <x:v>retry coordinator</x:v>
      </x:c>
      <x:c r="J96" s="19" t="str">
        <x:v>P §4.1 s.107–108; §3.2; T §1.4</x:v>
      </x:c>
      <x:c r="K96" s="19" t="str">
        <x:v>Implementering och beteendeprov krävs; inte produktionsgodkänt av detta dokument.</x:v>
      </x:c>
      <x:c r="L96" s="19" t="str">
        <x:v>Ej verifierad</x:v>
      </x:c>
      <x:c r="M96" s="19" t="str">
        <x:v>AT-TR-05</x:v>
      </x:c>
      <x:c r="N96" s="19" t="str">
        <x:v>https://www.ediel.se/Info/edielanvisningar</x:v>
      </x:c>
    </x:row>
    <x:row r="97" ht="50.400001525878906" customHeight="1">
      <x:c r="A97" s="19" t="str">
        <x:v>TR-06</x:v>
      </x:c>
      <x:c r="B97" s="19" t="str">
        <x:v>Certifikat</x:v>
      </x:c>
      <x:c r="C97" s="19" t="str">
        <x:v>Ediel/Handbok</x:v>
      </x:c>
      <x:c r="D97" s="19" t="str">
        <x:v>Mottagarcertifikat</x:v>
      </x:c>
      <x:c r="E97" s="19" t="str">
        <x:v>Före sändning</x:v>
      </x:c>
      <x:c r="F97" s="19" t="str">
        <x:v>Kontrollera exakta giltighetsgränser, status, ändamål och ägarscope mot verklig teknisk/juridisk rutt.</x:v>
      </x:c>
      <x:c r="G97" s="19" t="str">
        <x:v>Verifiera kedja och spärrpolicy med samma guard för direkt id-val och kandidatsökning.</x:v>
      </x:c>
      <x:c r="H97" s="19" t="str">
        <x:v>Utgånget, spärrat eller ännu inte giltigt certifikat får inte passera genom dagsavrundning.</x:v>
      </x:c>
      <x:c r="I97" s="19" t="str">
        <x:v>certificateStatus / recipient resolver</x:v>
      </x:c>
      <x:c r="J97" s="19" t="str">
        <x:v>T bilagaA §A.3</x:v>
      </x:c>
      <x:c r="K97" s="19" t="str">
        <x:v>Implementering och beteendeprov krävs; inte produktionsgodkänt av detta dokument.</x:v>
      </x:c>
      <x:c r="L97" s="19" t="str">
        <x:v>Ej verifierad</x:v>
      </x:c>
      <x:c r="M97" s="19" t="str">
        <x:v>AT-TR-06</x:v>
      </x:c>
      <x:c r="N97" s="19" t="str">
        <x:v>Se källregister och lokala bilagor i v2-paketet</x:v>
      </x:c>
    </x:row>
    <x:row r="98" ht="50.400001525878906" customHeight="1">
      <x:c r="A98" s="19" t="str">
        <x:v>TR-07</x:v>
      </x:c>
      <x:c r="B98" s="19" t="str">
        <x:v>Certifikatöverlapp</x:v>
      </x:c>
      <x:c r="C98" s="19" t="str">
        <x:v>Ediel/Handbok</x:v>
      </x:c>
      <x:c r="D98" s="19" t="str">
        <x:v>Överlappande certifikat</x:v>
      </x:c>
      <x:c r="E98" s="19" t="str">
        <x:v>S/MIME byggs</x:v>
      </x:c>
      <x:c r="F98" s="19" t="str">
        <x:v>Följ anvisningens fler-certifikatfall inom korrekt mottagarscope.</x:v>
      </x:c>
      <x:c r="G98" s="19" t="str">
        <x:v>Kryptera för de giltiga mottagarcertifikat som regeln kräver.</x:v>
      </x:c>
      <x:c r="H98" s="19" t="str">
        <x:v>Välj inte slumpmässigt bara det senast registrerade certifikatet.</x:v>
      </x:c>
      <x:c r="I98" s="19" t="str">
        <x:v>S/MIME envelope</x:v>
      </x:c>
      <x:c r="J98" s="19" t="str">
        <x:v>T bilagaA §A.3</x:v>
      </x:c>
      <x:c r="K98" s="19" t="str">
        <x:v>Implementering och beteendeprov krävs; inte produktionsgodkänt av detta dokument.</x:v>
      </x:c>
      <x:c r="L98" s="19" t="str">
        <x:v>Ej verifierad</x:v>
      </x:c>
      <x:c r="M98" s="19" t="str">
        <x:v>AT-TR-07</x:v>
      </x:c>
      <x:c r="N98" s="19" t="str">
        <x:v>Se källregister och lokala bilagor i v2-paketet</x:v>
      </x:c>
    </x:row>
    <x:row r="99" ht="50.400001525878906" customHeight="1">
      <x:c r="A99" s="19" t="str">
        <x:v>TR-08</x:v>
      </x:c>
      <x:c r="B99" s="19" t="str">
        <x:v>TLS/SPF</x:v>
      </x:c>
      <x:c r="C99" s="19" t="str">
        <x:v>Ediel/Handbok</x:v>
      </x:c>
      <x:c r="D99" s="19" t="str">
        <x:v>SMTP-reläer</x:v>
      </x:c>
      <x:c r="E99" s="19" t="str">
        <x:v>Kommunikation</x:v>
      </x:c>
      <x:c r="F99" s="19" t="str">
        <x:v>Verifiera relä-TLS och SPF. TLS till första servern bevisar inte nästa serverhopp.</x:v>
      </x:c>
      <x:c r="G99" s="19" t="str">
        <x:v>Kontrollera providerpolicy och verkligt leveransspår.</x:v>
      </x:c>
      <x:c r="H99" s="19" t="str">
        <x:v>Deklarera inte hela transporten verifierad bara för att port465 kan nås.</x:v>
      </x:c>
      <x:c r="I99" s="19" t="str">
        <x:v>transport security readiness</x:v>
      </x:c>
      <x:c r="J99" s="19" t="str">
        <x:v>T §3.1,bilagaA</x:v>
      </x:c>
      <x:c r="K99" s="19" t="str">
        <x:v>Implementering och beteendeprov krävs; inte produktionsgodkänt av detta dokument.</x:v>
      </x:c>
      <x:c r="L99" s="19" t="str">
        <x:v>Ej verifierad</x:v>
      </x:c>
      <x:c r="M99" s="19" t="str">
        <x:v>AT-TR-08</x:v>
      </x:c>
      <x:c r="N99" s="19" t="str">
        <x:v>https://www.ediel.se/Info/edielanvisningar</x:v>
      </x:c>
    </x:row>
    <x:row r="100" ht="50.400001525878906" customHeight="1">
      <x:c r="A100" s="19" t="str">
        <x:v>TR-09</x:v>
      </x:c>
      <x:c r="B100" s="19" t="str">
        <x:v>Reservförfarande</x:v>
      </x:c>
      <x:c r="C100" s="19" t="str">
        <x:v>Ediel/Handbok</x:v>
      </x:c>
      <x:c r="D100" s="19" t="str">
        <x:v>Tillfälligt krypterings-/CRLproblem</x:v>
      </x:c>
      <x:c r="E100" s="19" t="str">
        <x:v>Reservförfarande prövas</x:v>
      </x:c>
      <x:c r="F100" s="19" t="str">
        <x:v>Endast uttryckligen specificerade undantagsfall i T får användas med respektive villkor/larm och fortsatt obligatorisk TLS.</x:v>
      </x:c>
      <x:c r="G100" s="19" t="str">
        <x:v>Skapa separat avvikelsejournal och avgränsad driftåtgärd.</x:v>
      </x:c>
      <x:c r="H100" s="19" t="str">
        <x:v>Ingen generell switch för oskyddad trafik och inga påhittade undantag.</x:v>
      </x:c>
      <x:c r="I100" s="19" t="str">
        <x:v>transport exception policy</x:v>
      </x:c>
      <x:c r="J100" s="19" t="str">
        <x:v>T §3.1,bilagaA</x:v>
      </x:c>
      <x:c r="K100" s="19" t="str">
        <x:v>Implementering och beteendeprov krävs; inte produktionsgodkänt av detta dokument.</x:v>
      </x:c>
      <x:c r="L100" s="19" t="str">
        <x:v>Ej verifierad</x:v>
      </x:c>
      <x:c r="M100" s="19" t="str">
        <x:v>AT-TR-09</x:v>
      </x:c>
      <x:c r="N100" s="19" t="str">
        <x:v>https://www.ediel.se/Info/edielanvisningar</x:v>
      </x:c>
    </x:row>
    <x:row r="101" ht="50.400001525878906" customHeight="1">
      <x:c r="A101" s="19" t="str">
        <x:v>TR-10</x:v>
      </x:c>
      <x:c r="B101" s="19" t="str">
        <x:v>Köochkrasch</x:v>
      </x:c>
      <x:c r="C101" s="19" t="str">
        <x:v>Intern arkitektur</x:v>
      </x:c>
      <x:c r="D101" s="19" t="str">
        <x:v>Köjobb och krasch</x:v>
      </x:c>
      <x:c r="E101" s="19" t="str">
        <x:v>Jobbstart, timeout eller leasebyte</x:v>
      </x:c>
      <x:c r="F101" s="19" t="str">
        <x:v>SMTP och DB är inte atomiska. Använd lease/fencing och särskilt unknown_after_submission.</x:v>
      </x:c>
      <x:c r="G101" s="19" t="str">
        <x:v>Försök igen endast när det säkert inte skickats eller föreskrivet beslut finns; spåra okända utfall.</x:v>
      </x:c>
      <x:c r="H101" s="19" t="str">
        <x:v>Lova inte exakt-en-gång över SMTP och gör inte rekursiva blind-retries.</x:v>
      </x:c>
      <x:c r="I101" s="19" t="str">
        <x:v>outbox worker</x:v>
      </x:c>
      <x:c r="J101" s="19" t="str">
        <x:v>SYS</x:v>
      </x:c>
      <x:c r="K101" s="19" t="str">
        <x:v>Implementering och beteendeprov krävs; inte produktionsgodkänt av detta dokument.</x:v>
      </x:c>
      <x:c r="L101" s="19" t="str">
        <x:v>Ej verifierad</x:v>
      </x:c>
      <x:c r="M101" s="19" t="str">
        <x:v>AT-TR-10</x:v>
      </x:c>
      <x:c r="N101" s="19" t="str">
        <x:v>Se källregister och lokala bilagor i v2-paketet</x:v>
      </x:c>
    </x:row>
    <x:row r="102" ht="50.400001525878906" customHeight="1">
      <x:c r="A102" s="19" t="str">
        <x:v>TR-11</x:v>
      </x:c>
      <x:c r="B102" s="19" t="str">
        <x:v>Skickat-mapp</x:v>
      </x:c>
      <x:c r="C102" s="19" t="str">
        <x:v>Intern arkitektur</x:v>
      </x:c>
      <x:c r="D102" s="19" t="str">
        <x:v>Skickat-mappen</x:v>
      </x:c>
      <x:c r="E102" s="19" t="str">
        <x:v>Administrativ inspektion</x:v>
      </x:c>
      <x:c r="F102" s="19" t="str">
        <x:v>En Skickat-kopia är en separat IMAP-/arkivfunktion.</x:v>
      </x:c>
      <x:c r="G102" s="19" t="str">
        <x:v>Använd transportjournalen som beviskälla; erbjud kopia som driftfunktion.</x:v>
      </x:c>
      <x:c r="H102" s="19" t="str">
        <x:v>En tom mapp ska inte utlösa omsändning eller betraktas som bevis på förlust.</x:v>
      </x:c>
      <x:c r="I102" s="19" t="str">
        <x:v>operations UI</x:v>
      </x:c>
      <x:c r="J102" s="19" t="str">
        <x:v>BefintligsendEdielEmail; SYS</x:v>
      </x:c>
      <x:c r="K102" s="19" t="str">
        <x:v>Implementering och beteendeprov krävs; inte produktionsgodkänt av detta dokument.</x:v>
      </x:c>
      <x:c r="L102" s="19" t="str">
        <x:v>Ej verifierad</x:v>
      </x:c>
      <x:c r="M102" s="19" t="str">
        <x:v>AT-TR-11</x:v>
      </x:c>
      <x:c r="N102" s="19" t="str">
        <x:v>Se källregister och lokala bilagor i v2-paketet</x:v>
      </x:c>
    </x:row>
    <x:row r="103" ht="50.400001525878906" customHeight="1">
      <x:c r="A103" s="19" t="str">
        <x:v>AI-01</x:v>
      </x:c>
      <x:c r="B103" s="19" t="str">
        <x:v>AI-lista</x:v>
      </x:c>
      <x:c r="C103" s="19" t="str">
        <x:v>Ediel/Handbok</x:v>
      </x:c>
      <x:c r="D103" s="19" t="str">
        <x:v>AI-lista</x:v>
      </x:c>
      <x:c r="E103" s="19" t="str">
        <x:v>Fil skapas eller läses</x:v>
      </x:c>
      <x:c r="F103" s="19" t="str">
        <x:v>Använd separat semikolonformat Ver20140401, CSV från 2025-10-01 och huvud med nätföretag först/elhandelsföretag sedan.</x:v>
      </x:c>
      <x:c r="G103" s="19" t="str">
        <x:v>Identifiera format och behörig avstämningsomfattning före bearbetning.</x:v>
      </x:c>
      <x:c r="H103" s="19" t="str">
        <x:v>Skapa inte EDIFACT-kvittenser på en AI-fil.</x:v>
      </x:c>
      <x:c r="I103" s="19" t="str">
        <x:v>AI adapter</x:v>
      </x:c>
      <x:c r="J103" s="19" t="str">
        <x:v>AI §2–3</x:v>
      </x:c>
      <x:c r="K103" s="19" t="str">
        <x:v>Implementering och beteendeprov krävs; inte produktionsgodkänt av detta dokument.</x:v>
      </x:c>
      <x:c r="L103" s="19" t="str">
        <x:v>Ej verifierad</x:v>
      </x:c>
      <x:c r="M103" s="19" t="str">
        <x:v>AT-AI-01</x:v>
      </x:c>
      <x:c r="N103" s="19" t="str">
        <x:v>https://www.ediel.se/Info/edielanvisningar</x:v>
      </x:c>
    </x:row>
    <x:row r="104" ht="50.400001525878906" customHeight="1">
      <x:c r="A104" s="19" t="str">
        <x:v>AI-02</x:v>
      </x:c>
      <x:c r="B104" s="19" t="str">
        <x:v>AI-lista</x:v>
      </x:c>
      <x:c r="C104" s="19" t="str">
        <x:v>Ediel/Handbok</x:v>
      </x:c>
      <x:c r="D104" s="19" t="str">
        <x:v>Utgående AI från elhandelsföretag</x:v>
      </x:c>
      <x:c r="E104" s="19" t="str">
        <x:v>Detaljrader byggs</x:v>
      </x:c>
      <x:c r="F104" s="19" t="str">
        <x:v>Lämna mätarnummer, avräkningsmetod, årsenergi, rapporteringsfrekvens, mätmetod och produktkod tomma.</x:v>
      </x:c>
      <x:c r="G104" s="19" t="str">
        <x:v>Fyll övriga tillämpliga verifierade marknads-/kunduppgifter och avslutande semikolon.</x:v>
      </x:c>
      <x:c r="H104" s="19" t="str">
        <x:v>Interna UUID eller site_name får inte ersätta kund-id eller kundnamn.</x:v>
      </x:c>
      <x:c r="I104" s="19" t="str">
        <x:v>aiList builder</x:v>
      </x:c>
      <x:c r="J104" s="19" t="str">
        <x:v>AI §3.1 s.8–9</x:v>
      </x:c>
      <x:c r="K104" s="19" t="str">
        <x:v>Implementering och beteendeprov krävs; inte produktionsgodkänt av detta dokument.</x:v>
      </x:c>
      <x:c r="L104" s="19" t="str">
        <x:v>Ej verifierad</x:v>
      </x:c>
      <x:c r="M104" s="19" t="str">
        <x:v>AT-AI-02</x:v>
      </x:c>
      <x:c r="N104" s="19" t="str">
        <x:v>https://www.ediel.se/Info/edielanvisningar</x:v>
      </x:c>
    </x:row>
    <x:row r="105" ht="50.400001525878906" customHeight="1">
      <x:c r="A105" s="19" t="str">
        <x:v>AI-03</x:v>
      </x:c>
      <x:c r="B105" s="19" t="str">
        <x:v>AI-lista</x:v>
      </x:c>
      <x:c r="C105" s="19" t="str">
        <x:v>Ediel/Handbok</x:v>
      </x:c>
      <x:c r="D105" s="19" t="str">
        <x:v>AI-listans periodurval</x:v>
      </x:c>
      <x:c r="E105" s="19" t="str">
        <x:v>Historik projiceras</x:v>
      </x:c>
      <x:c r="F105" s="19" t="str">
        <x:v>Ta med alla relevanta anläggningar under [från,till). Delperioder och strukturändringar ger flera detaljrader.</x:v>
      </x:c>
      <x:c r="G105" s="19" t="str">
        <x:v>Sortera objektrader i tid med tomt från först och tomt till sist. Skilj sökperiod från detaljens giltighet.</x:v>
      </x:c>
      <x:c r="H105" s="19" t="str">
        <x:v>Endast dagens aktiva objekt eller ett enda värde per kund är inte tillräckligt.</x:v>
      </x:c>
      <x:c r="I105" s="19" t="str">
        <x:v>AI history projection</x:v>
      </x:c>
      <x:c r="J105" s="19" t="str">
        <x:v>AI §2.1 s.6–7</x:v>
      </x:c>
      <x:c r="K105" s="19" t="str">
        <x:v>Implementering och beteendeprov krävs; inte produktionsgodkänt av detta dokument.</x:v>
      </x:c>
      <x:c r="L105" s="19" t="str">
        <x:v>Ej verifierad</x:v>
      </x:c>
      <x:c r="M105" s="19" t="str">
        <x:v>AT-AI-03</x:v>
      </x:c>
      <x:c r="N105" s="19" t="str">
        <x:v>https://www.ediel.se/Info/edielanvisningar</x:v>
      </x:c>
    </x:row>
    <x:row r="106" ht="50.400001525878906" customHeight="1">
      <x:c r="A106" s="19" t="str">
        <x:v>AI-04</x:v>
      </x:c>
      <x:c r="B106" s="19" t="str">
        <x:v>AI-lista</x:v>
      </x:c>
      <x:c r="C106" s="19" t="str">
        <x:v>Ediel/Handbok</x:v>
      </x:c>
      <x:c r="D106" s="19" t="str">
        <x:v>Inkommande AI</x:v>
      </x:c>
      <x:c r="E106" s="19" t="str">
        <x:v>Avvikelse upptäcks</x:v>
      </x:c>
      <x:c r="F106" s="19" t="str">
        <x:v>Listan är avstämningsunderlag, inte ett automatiskt masterdatafacit.</x:v>
      </x:c>
      <x:c r="G106" s="19" t="str">
        <x:v>Skapa utredningspost med källbevis; en senare ändring får en egen behörig process.</x:v>
      </x:c>
      <x:c r="H106" s="19" t="str">
        <x:v>Uppdatera inte kund, objekt eller BRP direkt från listan.</x:v>
      </x:c>
      <x:c r="I106" s="19" t="str">
        <x:v>AI reconciliation</x:v>
      </x:c>
      <x:c r="J106" s="19" t="str">
        <x:v>AI §1.1</x:v>
      </x:c>
      <x:c r="K106" s="19" t="str">
        <x:v>Implementering och beteendeprov krävs; inte produktionsgodkänt av detta dokument.</x:v>
      </x:c>
      <x:c r="L106" s="19" t="str">
        <x:v>Ej verifierad</x:v>
      </x:c>
      <x:c r="M106" s="19" t="str">
        <x:v>AT-AI-04</x:v>
      </x:c>
      <x:c r="N106" s="19" t="str">
        <x:v>https://www.ediel.se/Info/edielanvisningar</x:v>
      </x:c>
    </x:row>
    <x:row r="107" ht="50.400001525878906" customHeight="1">
      <x:c r="A107" s="19" t="str">
        <x:v>AI-05</x:v>
      </x:c>
      <x:c r="B107" s="19" t="str">
        <x:v>BI-lista</x:v>
      </x:c>
      <x:c r="C107" s="19" t="str">
        <x:v>Ediel/Handbok</x:v>
      </x:c>
      <x:c r="D107" s="19" t="str">
        <x:v>BI i DDQ/DGI-plattform</x:v>
      </x:c>
      <x:c r="E107" s="19" t="str">
        <x:v>Export begärs</x:v>
      </x:c>
      <x:c r="F107" s="19" t="str">
        <x:v>BI används enbart av nätföretag för angivna strukturändringar.</x:v>
      </x:c>
      <x:c r="G107" s="19" t="str">
        <x:v>Stöd behörig mottagning/utredning; spärra utgående BI i DDQ/DGI.</x:v>
      </x:c>
      <x:c r="H107" s="19" t="str">
        <x:v>Känd CSV-struktur ger ingen marknadsbehörighet.</x:v>
      </x:c>
      <x:c r="I107" s="19" t="str">
        <x:v>BI capability gate</x:v>
      </x:c>
      <x:c r="J107" s="19" t="str">
        <x:v>AI §1.1,3.2</x:v>
      </x:c>
      <x:c r="K107" s="19" t="str">
        <x:v>Implementering och beteendeprov krävs; inte produktionsgodkänt av detta dokument.</x:v>
      </x:c>
      <x:c r="L107" s="19" t="str">
        <x:v>Ej verifierad</x:v>
      </x:c>
      <x:c r="M107" s="19" t="str">
        <x:v>AT-AI-05</x:v>
      </x:c>
      <x:c r="N107" s="19" t="str">
        <x:v>https://www.ediel.se/Info/edielanvisningar</x:v>
      </x:c>
    </x:row>
    <x:row r="108" ht="50.400001525878906" customHeight="1">
      <x:c r="A108" s="19" t="str">
        <x:v>DB-01</x:v>
      </x:c>
      <x:c r="B108" s="19" t="str">
        <x:v>Datamodell</x:v>
      </x:c>
      <x:c r="C108" s="19" t="str">
        <x:v>Intern arkitektur</x:v>
      </x:c>
      <x:c r="D108" s="19" t="str">
        <x:v>Affärsdata och protokolljournal</x:v>
      </x:c>
      <x:c r="E108" s="19" t="str">
        <x:v>Schema ändras</x:v>
      </x:c>
      <x:c r="F108" s="19" t="str">
        <x:v>Identifiera befintlig auktoritativ tabell för varje uppgift innan något nytt skapas.</x:v>
      </x:c>
      <x:c r="G108" s="19" t="str">
        <x:v>Utöka med expand, backfill, validate och först därefter contract.</x:v>
      </x:c>
      <x:c r="H108" s="19" t="str">
        <x:v>Skapa inte parallella kund-, regel- eller ruttauktoriteter.</x:v>
      </x:c>
      <x:c r="I108" s="19" t="str">
        <x:v>migration design</x:v>
      </x:c>
      <x:c r="J108" s="19" t="str">
        <x:v>SYS</x:v>
      </x:c>
      <x:c r="K108" s="19" t="str">
        <x:v>Implementering och beteendeprov krävs; inte produktionsgodkänt av detta dokument.</x:v>
      </x:c>
      <x:c r="L108" s="19" t="str">
        <x:v>Ej verifierad</x:v>
      </x:c>
      <x:c r="M108" s="19" t="str">
        <x:v>AT-DB-01</x:v>
      </x:c>
      <x:c r="N108" s="19" t="str">
        <x:v>Se källregister och lokala bilagor i v2-paketet</x:v>
      </x:c>
    </x:row>
    <x:row r="109" ht="50.400001525878906" customHeight="1">
      <x:c r="A109" s="19" t="str">
        <x:v>DB-02</x:v>
      </x:c>
      <x:c r="B109" s="19" t="str">
        <x:v>Referensintegritet</x:v>
      </x:c>
      <x:c r="C109" s="19" t="str">
        <x:v>Intern arkitektur</x:v>
      </x:c>
      <x:c r="D109" s="19" t="str">
        <x:v>Tenantägda relationer</x:v>
      </x:c>
      <x:c r="E109" s="19" t="str">
        <x:v>Insert/update</x:v>
      </x:c>
      <x:c r="F109" s="19" t="str">
        <x:v>Verifiera tenant+id-referenser, unika idempotensnycklar och tillämpliga datum-/aktörsrelationer.</x:v>
      </x:c>
      <x:c r="G109" s="19" t="str">
        <x:v>Förhindra korskoppling och motstridiga aktiva perioder med constraints/RPC.</x:v>
      </x:c>
      <x:c r="H109" s="19" t="str">
        <x:v>Frontendvalidering och ett UUID utan kontroll av parent räcker inte.</x:v>
      </x:c>
      <x:c r="I109" s="19" t="str">
        <x:v>DB constraints / RPC</x:v>
      </x:c>
      <x:c r="J109" s="19" t="str">
        <x:v>SYS</x:v>
      </x:c>
      <x:c r="K109" s="19" t="str">
        <x:v>Implementering och beteendeprov krävs; inte produktionsgodkänt av detta dokument.</x:v>
      </x:c>
      <x:c r="L109" s="19" t="str">
        <x:v>Ej verifierad</x:v>
      </x:c>
      <x:c r="M109" s="19" t="str">
        <x:v>AT-DB-02</x:v>
      </x:c>
      <x:c r="N109" s="19" t="str">
        <x:v>Se källregister och lokala bilagor i v2-paketet</x:v>
      </x:c>
    </x:row>
    <x:row r="110" ht="50.400001525878906" customHeight="1">
      <x:c r="A110" s="19" t="str">
        <x:v>DB-03</x:v>
      </x:c>
      <x:c r="B110" s="19" t="str">
        <x:v>Lagring</x:v>
      </x:c>
      <x:c r="C110" s="19" t="str">
        <x:v>Normkrav + intern verkställighet</x:v>
      </x:c>
      <x:c r="D110" s="19" t="str">
        <x:v>Mät- och strukturrättelser</x:v>
      </x:c>
      <x:c r="E110" s="19" t="str">
        <x:v>Godkänd ändring lagras</x:v>
      </x:c>
      <x:c r="F110" s="19" t="str">
        <x:v>Bevara giltighetsperiod, registreringstid, mottagningstid och källmeddelande/IDE/regelbeslut.</x:v>
      </x:c>
      <x:c r="G110" s="19" t="str">
        <x:v>Skapa ny version och daterad projektion.</x:v>
      </x:c>
      <x:c r="H110" s="19" t="str">
        <x:v>Förlora inte historiken eller ändra fastställt fakturaunderlag osynligt.</x:v>
      </x:c>
      <x:c r="I110" s="19" t="str">
        <x:v>history / measurement storage</x:v>
      </x:c>
      <x:c r="J110" s="19" t="str">
        <x:v>U §3.6.14; SYS</x:v>
      </x:c>
      <x:c r="K110" s="19" t="str">
        <x:v>Implementering och beteendeprov krävs; inte produktionsgodkänt av detta dokument.</x:v>
      </x:c>
      <x:c r="L110" s="19" t="str">
        <x:v>Ej verifierad</x:v>
      </x:c>
      <x:c r="M110" s="19" t="str">
        <x:v>AT-DB-03</x:v>
      </x:c>
      <x:c r="N110" s="19" t="str">
        <x:v>https://www.ediel.se/Info/edielanvisningar</x:v>
      </x:c>
    </x:row>
    <x:row r="111" ht="50.400001525878906" customHeight="1">
      <x:c r="A111" s="19" t="str">
        <x:v>DB-04</x:v>
      </x:c>
      <x:c r="B111" s="19" t="str">
        <x:v>Index</x:v>
      </x:c>
      <x:c r="C111" s="19" t="str">
        <x:v>Intern arkitektur</x:v>
      </x:c>
      <x:c r="D111" s="19" t="str">
        <x:v>Index och frågor</x:v>
      </x:c>
      <x:c r="E111" s="19" t="str">
        <x:v>Migration/prestandaprov</x:v>
      </x:c>
      <x:c r="F111" s="19" t="str">
        <x:v>Utgå från faktiska urval för tenant/aktör, status/tidsfrist, referenser, objekt/period/version och foreign keys.</x:v>
      </x:c>
      <x:c r="G111" s="19" t="str">
        <x:v>Verifiera planer och belastning med EXPLAIN och representativ data.</x:v>
      </x:c>
      <x:c r="H111" s="19" t="str">
        <x:v>Index på alla kolumner ersätter inte en mätt prestandaplan.</x:v>
      </x:c>
      <x:c r="I111" s="19" t="str">
        <x:v>DB migration / CI</x:v>
      </x:c>
      <x:c r="J111" s="19" t="str">
        <x:v>SYS</x:v>
      </x:c>
      <x:c r="K111" s="19" t="str">
        <x:v>Implementering och beteendeprov krävs; inte produktionsgodkänt av detta dokument.</x:v>
      </x:c>
      <x:c r="L111" s="19" t="str">
        <x:v>Ej verifierad</x:v>
      </x:c>
      <x:c r="M111" s="19" t="str">
        <x:v>AT-DB-04</x:v>
      </x:c>
      <x:c r="N111" s="19" t="str">
        <x:v>Se källregister och lokala bilagor i v2-paketet</x:v>
      </x:c>
    </x:row>
    <x:row r="112" ht="50.400001525878906" customHeight="1">
      <x:c r="A112" s="19" t="str">
        <x:v>DB-05</x:v>
      </x:c>
      <x:c r="B112" s="19" t="str">
        <x:v>Radering</x:v>
      </x:c>
      <x:c r="C112" s="19" t="str">
        <x:v>Intern arkitektur</x:v>
      </x:c>
      <x:c r="D112" s="19" t="str">
        <x:v>Kund, tenant eller uppdrag avslutas</x:v>
      </x:c>
      <x:c r="E112" s="19" t="str">
        <x:v>Raderingsbegäran</x:v>
      </x:c>
      <x:c r="F112" s="19" t="str">
        <x:v>Skilj operativ avveckling, åtkomstrevoke, persondatagallring och skyldighet att bevara journal/avräkningsunderlag.</x:v>
      </x:c>
      <x:c r="G112" s="19" t="str">
        <x:v>Använd en beslutad workflow per retentionklass och behörigt underlag.</x:v>
      </x:c>
      <x:c r="H112" s="19" t="str">
        <x:v>Radera inte all historik med CASCADE och spara inte allt för alltid utan rättslig grund.</x:v>
      </x:c>
      <x:c r="I112" s="19" t="str">
        <x:v>data lifecycle service</x:v>
      </x:c>
      <x:c r="J112" s="19" t="str">
        <x:v>SYS; juridiskretentionG04</x:v>
      </x:c>
      <x:c r="K112" s="19" t="str">
        <x:v>Implementering och beteendeprov krävs; inte produktionsgodkänt av detta dokument.</x:v>
      </x:c>
      <x:c r="L112" s="19" t="str">
        <x:v>Ej verifierad</x:v>
      </x:c>
      <x:c r="M112" s="19" t="str">
        <x:v>AT-DB-05</x:v>
      </x:c>
      <x:c r="N112" s="19" t="str">
        <x:v>Se källregister och lokala bilagor i v2-paketet</x:v>
      </x:c>
    </x:row>
    <x:row r="113" ht="50.400001525878906" customHeight="1">
      <x:c r="A113" s="19" t="str">
        <x:v>DB-06</x:v>
      </x:c>
      <x:c r="B113" s="19" t="str">
        <x:v>Fakturaunderlag</x:v>
      </x:c>
      <x:c r="C113" s="19" t="str">
        <x:v>Intern arkitektur</x:v>
      </x:c>
      <x:c r="D113" s="19" t="str">
        <x:v>Fakturaunderlag i leverantörsrollen</x:v>
      </x:c>
      <x:c r="E113" s="19" t="str">
        <x:v>Underlag fastställs</x:v>
      </x:c>
      <x:c r="F113" s="19" t="str">
        <x:v>Verifiera kvantitetstyp, produkt, period, leveransrelation, dataversion, prisversion och kvalitet.</x:v>
      </x:c>
      <x:c r="G113" s="19" t="str">
        <x:v>Lås spårbart underlag och skapa särskild rättelsejournal vid nya data.</x:v>
      </x:c>
      <x:c r="H113" s="19" t="str">
        <x:v>S02-prognos, E31-aggregat eller DGI-leverans blir inte automatiskt individuell faktura.</x:v>
      </x:c>
      <x:c r="I113" s="19" t="str">
        <x:v>billing input assembler</x:v>
      </x:c>
      <x:c r="J113" s="19" t="str">
        <x:v>U §3.1–3.2; SYS</x:v>
      </x:c>
      <x:c r="K113" s="19" t="str">
        <x:v>Implementering och beteendeprov krävs; inte produktionsgodkänt av detta dokument.</x:v>
      </x:c>
      <x:c r="L113" s="19" t="str">
        <x:v>Ej verifierad</x:v>
      </x:c>
      <x:c r="M113" s="19" t="str">
        <x:v>AT-DB-06</x:v>
      </x:c>
      <x:c r="N113" s="19" t="str">
        <x:v>https://www.ediel.se/Info/edielanvisningar</x:v>
      </x:c>
    </x:row>
    <x:row r="114" ht="50.400001525878906" customHeight="1">
      <x:c r="A114" s="19" t="str">
        <x:v>OPS-01</x:v>
      </x:c>
      <x:c r="B114" s="19" t="str">
        <x:v>Readiness</x:v>
      </x:c>
      <x:c r="C114" s="19" t="str">
        <x:v>Intern arkitektur</x:v>
      </x:c>
      <x:c r="D114" s="19" t="str">
        <x:v>Ny regel, rutt, schema eller release</x:v>
      </x:c>
      <x:c r="E114" s="19" t="str">
        <x:v>Publicering/konfigurationsändring</x:v>
      </x:c>
      <x:c r="F114" s="19" t="str">
        <x:v>Skapa nytt bevis per berörd tenant, aktörsroll och kapabilitet med versionslåst dependencyhash.</x:v>
      </x:c>
      <x:c r="G114" s="19" t="str">
        <x:v>Ogiltigförklara berörda bevis och gör ny prövning; skydda samtidigt fortsatt mottagnings-/kvittenshantering.</x:v>
      </x:c>
      <x:c r="H114" s="19" t="str">
        <x:v>Ett gammalt globalt is_ready godkänner inte nya funktioner eller tenants.</x:v>
      </x:c>
      <x:c r="I114" s="19" t="str">
        <x:v>readiness service</x:v>
      </x:c>
      <x:c r="J114" s="19" t="str">
        <x:v>SYS</x:v>
      </x:c>
      <x:c r="K114" s="19" t="str">
        <x:v>Implementering och beteendeprov krävs; inte produktionsgodkänt av detta dokument.</x:v>
      </x:c>
      <x:c r="L114" s="19" t="str">
        <x:v>Ej verifierad</x:v>
      </x:c>
      <x:c r="M114" s="19" t="str">
        <x:v>AT-OPS-01</x:v>
      </x:c>
      <x:c r="N114" s="19" t="str">
        <x:v>Se källregister och lokala bilagor i v2-paketet</x:v>
      </x:c>
    </x:row>
    <x:row r="115" ht="50.400001525878906" customHeight="1">
      <x:c r="A115" s="19" t="str">
        <x:v>OPS-02</x:v>
      </x:c>
      <x:c r="B115" s="19" t="str">
        <x:v>Nästaåtgärd</x:v>
      </x:c>
      <x:c r="C115" s="19" t="str">
        <x:v>Intern arkitektur</x:v>
      </x:c>
      <x:c r="D115" s="19" t="str">
        <x:v>Öppna ärenden</x:v>
      </x:c>
      <x:c r="E115" s="19" t="str">
        <x:v>Varje händelse eller timer</x:v>
      </x:c>
      <x:c r="F115" s="19" t="str">
        <x:v>Beräkna nästa åtgärd från processbeslutet med orsak, tidsgrund, ansvar och blockerare.</x:v>
      </x:c>
      <x:c r="G115" s="19" t="str">
        <x:v>Visa vad systemet väntar på och vilka åtgärder som faktiskt är tillåtna.</x:v>
      </x:c>
      <x:c r="H115" s="19" t="str">
        <x:v>Ett statiskt waiting_for_contrl-fält får inte styra hela affärskedjan.</x:v>
      </x:c>
      <x:c r="I115" s="19" t="str">
        <x:v>process reducer / UI projections</x:v>
      </x:c>
      <x:c r="J115" s="19" t="str">
        <x:v>SYS</x:v>
      </x:c>
      <x:c r="K115" s="19" t="str">
        <x:v>Implementering och beteendeprov krävs; inte produktionsgodkänt av detta dokument.</x:v>
      </x:c>
      <x:c r="L115" s="19" t="str">
        <x:v>Ej verifierad</x:v>
      </x:c>
      <x:c r="M115" s="19" t="str">
        <x:v>AT-OPS-02</x:v>
      </x:c>
      <x:c r="N115" s="19" t="str">
        <x:v>Se källregister och lokala bilagor i v2-paketet</x:v>
      </x:c>
    </x:row>
    <x:row r="116" ht="50.400001525878906" customHeight="1">
      <x:c r="A116" s="19" t="str">
        <x:v>OPS-03</x:v>
      </x:c>
      <x:c r="B116" s="19" t="str">
        <x:v>Certifiering</x:v>
      </x:c>
      <x:c r="C116" s="19" t="str">
        <x:v>Normkrav + intern verkställighet</x:v>
      </x:c>
      <x:c r="D116" s="19" t="str">
        <x:v>Releasegodkännande</x:v>
      </x:c>
      <x:c r="E116" s="19" t="str">
        <x:v>Tester sammanställs</x:v>
      </x:c>
      <x:c r="F116" s="19" t="str">
        <x:v>Håll dokumenttäckning, enhetstest, integration, tenant-E2E, transport och TGT som separata bevis.</x:v>
      </x:c>
      <x:c r="G116" s="19" t="str">
        <x:v>Lås release till exakt head och testa flera tenants, DDQ, DGI och cross-tenantuppdrag.</x:v>
      </x:c>
      <x:c r="H116" s="19" t="str">
        <x:v>Specifikations-JSON som validerar är inte produktions-E2E eller formellt Edielgodkännande.</x:v>
      </x:c>
      <x:c r="I116" s="19" t="str">
        <x:v>CI / release manifest</x:v>
      </x:c>
      <x:c r="J116" s="19" t="str">
        <x:v>P §1.3; U §1.5; TGT; SYS</x:v>
      </x:c>
      <x:c r="K116" s="19" t="str">
        <x:v>Implementering och beteendeprov krävs; inte produktionsgodkänt av detta dokument.</x:v>
      </x:c>
      <x:c r="L116" s="19" t="str">
        <x:v>Ej verifierad</x:v>
      </x:c>
      <x:c r="M116" s="19" t="str">
        <x:v>AT-OPS-03</x:v>
      </x:c>
      <x:c r="N116" s="19" t="str">
        <x:v>https://www.ediel.se/Info/edielanvisningar</x:v>
      </x:c>
    </x:row>
    <x:row r="117" ht="50.400001525878906" customHeight="1">
      <x:c r="A117" s="19" t="str">
        <x:v>OPS-04</x:v>
      </x:c>
      <x:c r="B117" s="19" t="str">
        <x:v>Begränsadliveverifiering</x:v>
      </x:c>
      <x:c r="C117" s="19" t="str">
        <x:v>Intern arkitektur</x:v>
      </x:c>
      <x:c r="D117" s="19" t="str">
        <x:v>Kontrollerad produktionstest</x:v>
      </x:c>
      <x:c r="E117" s="19" t="str">
        <x:v>Efter rättelse</x:v>
      </x:c>
      <x:c r="F117" s="19" t="str">
        <x:v>Verifiera incidentspår, rutt, certifikat, profil och tenantkontext samt ett överenskommet motpartsprov.</x:v>
      </x:c>
      <x:c r="G117" s="19" t="str">
        <x:v>Genomför ett kontrollerat verkligt förlopp i rätt miljö.</x:v>
      </x:c>
      <x:c r="H117" s="19" t="str">
        <x:v>Massimport av referenser eller blinda omsändningar är inte en teststrategi.</x:v>
      </x:c>
      <x:c r="I117" s="19" t="str">
        <x:v>release runbook</x:v>
      </x:c>
      <x:c r="J117" s="19" t="str">
        <x:v>TGT; SYS</x:v>
      </x:c>
      <x:c r="K117" s="19" t="str">
        <x:v>Implementering och beteendeprov krävs; inte produktionsgodkänt av detta dokument.</x:v>
      </x:c>
      <x:c r="L117" s="19" t="str">
        <x:v>Ej verifierad</x:v>
      </x:c>
      <x:c r="M117" s="19" t="str">
        <x:v>AT-OPS-04</x:v>
      </x:c>
      <x:c r="N117" s="19" t="str">
        <x:v>Se källregister och lokala bilagor i v2-paketet</x:v>
      </x:c>
    </x:row>
    <x:row r="118" ht="50.400001525878906" customHeight="1">
      <x:c r="A118" s="19" t="str">
        <x:v>OPS-05</x:v>
      </x:c>
      <x:c r="B118" s="19" t="str">
        <x:v>Internafel</x:v>
      </x:c>
      <x:c r="C118" s="19" t="str">
        <x:v>Intern arkitektur</x:v>
      </x:c>
      <x:c r="D118" s="19" t="str">
        <x:v>Internt fel eller okänd kontext</x:v>
      </x:c>
      <x:c r="E118" s="19" t="str">
        <x:v>Runtimefel</x:v>
      </x:c>
      <x:c r="F118" s="19" t="str">
        <x:v>Skilj protocol_rejection från internal_failure, security_quarantine och unsupported_capability.</x:v>
      </x:c>
      <x:c r="G118" s="19" t="str">
        <x:v>Larma, bevara original och kvittensstatus och ge bara källstödda externa svar.</x:v>
      </x:c>
      <x:c r="H118" s="19" t="str">
        <x:v>Hitta inte på APERAK-fält42/xxx därför att den egna applikationen kraschar.</x:v>
      </x:c>
      <x:c r="I118" s="19" t="str">
        <x:v>error algebra / observability</x:v>
      </x:c>
      <x:c r="J118" s="19" t="str">
        <x:v>SYS</x:v>
      </x:c>
      <x:c r="K118" s="19" t="str">
        <x:v>Implementering och beteendeprov krävs; inte produktionsgodkänt av detta dokument.</x:v>
      </x:c>
      <x:c r="L118" s="19" t="str">
        <x:v>Ej verifierad</x:v>
      </x:c>
      <x:c r="M118" s="19" t="str">
        <x:v>AT-OPS-05</x:v>
      </x:c>
      <x:c r="N118" s="19" t="str">
        <x:v>Se källregister och lokala bilagor i v2-paketet</x:v>
      </x:c>
    </x:row>
    <x:row r="119" ht="64.19999694824219" customHeight="1">
      <x:c r="A119" s="19" t="str">
        <x:v>ENV-10</x:v>
      </x:c>
      <x:c r="B119" s="19" t="str">
        <x:v>Positionsnamn</x:v>
      </x:c>
      <x:c r="C119" s="19" t="str">
        <x:v>Ediel/Handbok</x:v>
      </x:c>
      <x:c r="D119" s="19" t="str">
        <x:v>PRODAT CCI kontra UTILTS CCI</x:v>
      </x:c>
      <x:c r="E119" s="19" t="str">
        <x:v>Fältlokalisering</x:v>
      </x:c>
      <x:c r="F119" s="19" t="str">
        <x:v>PRODAT använder SG14/CCI/C502/6313 för Z-egenskapen. UTILTS använder normalt C240/7037. Samma segmentnamn betyder inte samma elementlayout.</x:v>
      </x:c>
      <x:c r="G119" s="19" t="str">
        <x:v>Bind till familjens/releasens fulla segmentdefinition.</x:v>
      </x:c>
      <x:c r="H119" s="19" t="str">
        <x:v>Använd inte en gemensam CCI-position som flyttar PRODAT-egenskaper.</x:v>
      </x:c>
      <x:c r="I119" s="19" t="str">
        <x:v>field locator compiler</x:v>
      </x:c>
      <x:c r="J119" s="19" t="str">
        <x:v>P §2.6; U §3.9</x:v>
      </x:c>
      <x:c r="K119" s="19" t="str">
        <x:v>Implementering och beteendeprov krävs; inte produktionsgodkänt av detta dokument.</x:v>
      </x:c>
      <x:c r="L119" s="19" t="str">
        <x:v>Ej verifierad</x:v>
      </x:c>
      <x:c r="M119" s="19" t="str">
        <x:v>AT-ENV-10</x:v>
      </x:c>
      <x:c r="N119" s="19" t="str">
        <x:v>https://www.ediel.se/Info/edielanvisningar</x:v>
      </x:c>
    </x:row>
    <x:row r="120" ht="50.400001525878906" customHeight="1">
      <x:c r="A120" s="19" t="str">
        <x:v>ACK-10</x:v>
      </x:c>
      <x:c r="B120" s="19" t="str">
        <x:v>P-APERAK BGM</x:v>
      </x:c>
      <x:c r="C120" s="19" t="str">
        <x:v>Ediel/Handbok</x:v>
      </x:c>
      <x:c r="D120" s="19" t="str">
        <x:v>APERAK på PRODAT</x:v>
      </x:c>
      <x:c r="E120" s="19" t="str">
        <x:v>Byggare/korrelation</x:v>
      </x:c>
      <x:c r="F120" s="19" t="str">
        <x:v>BGM/1225 bär27/34; BGM/1001 och1004 används inte. Exempel på struktur är BGM+++34.</x:v>
      </x:c>
      <x:c r="G120" s="19" t="str">
        <x:v>Använd RFF+ACW till originaletsBGM och eget teknisktUNH/arkiv-id.</x:v>
      </x:c>
      <x:c r="H120" s="19" t="str">
        <x:v>Placera inte27/34 i1001 eller kräv eget P-APERAKBGM-id.</x:v>
      </x:c>
      <x:c r="I120" s="19" t="str">
        <x:v>P acknowledgement builder</x:v>
      </x:c>
      <x:c r="J120" s="19" t="str">
        <x:v>P s.98–100</x:v>
      </x:c>
      <x:c r="K120" s="19" t="str">
        <x:v>Implementering och beteendeprov krävs; inte produktionsgodkänt av detta dokument.</x:v>
      </x:c>
      <x:c r="L120" s="19" t="str">
        <x:v>Ej verifierad</x:v>
      </x:c>
      <x:c r="M120" s="19" t="str">
        <x:v>AT-ACK-10</x:v>
      </x:c>
      <x:c r="N120" s="19" t="str">
        <x:v>https://www.ediel.se/Info/edielanvisningar</x:v>
      </x:c>
    </x:row>
    <x:row r="121" ht="78" customHeight="1">
      <x:c r="A121" s="19" t="str">
        <x:v>U-15</x:v>
      </x:c>
      <x:c r="B121" s="19" t="str">
        <x:v>UTILTS-paketering</x:v>
      </x:c>
      <x:c r="C121" s="19" t="str">
        <x:v>Ediel/Handbok</x:v>
      </x:c>
      <x:c r="D121" s="19" t="str">
        <x:v>Utgående och inkommande UTILTS</x:v>
      </x:c>
      <x:c r="E121" s="19" t="str">
        <x:v>Batch och validering</x:v>
      </x:c>
      <x:c r="F121" s="19" t="str">
        <x:v>En UTILTS-överföring UNB–UNZ innehåller endast ett meddelande UNH–UNT och en juridisk mottagare. Blanda inte skeden, anledning eller kvart-/månadsupplösning enligt Application Reference.</x:v>
      </x:c>
      <x:c r="G121" s="19" t="str">
        <x:v>Paketera kompatibla transaktioner till rätt mottagare inom tillåtna gränser.</x:v>
      </x:c>
      <x:c r="H121" s="19" t="str">
        <x:v>En generell multi-message-codec får inte kringgå UTILTS specifika paketeringsregel.</x:v>
      </x:c>
      <x:c r="I121" s="19" t="str">
        <x:v>UTILTS batch planner / validator</x:v>
      </x:c>
      <x:c r="J121" s="19" t="str">
        <x:v>U §3.6.19 s.48</x:v>
      </x:c>
      <x:c r="K121" s="19" t="str">
        <x:v>Implementering och beteendeprov krävs; inte produktionsgodkänt av detta dokument.</x:v>
      </x:c>
      <x:c r="L121" s="19" t="str">
        <x:v>Ej verifierad</x:v>
      </x:c>
      <x:c r="M121" s="19" t="str">
        <x:v>AT-U-15</x:v>
      </x:c>
      <x:c r="N121" s="19" t="str">
        <x:v>https://www.ediel.se/Info/edielanvisningar</x:v>
      </x:c>
    </x:row>
    <x:row r="122" ht="64.19999694824219" customHeight="1">
      <x:c r="A122" s="19" t="str">
        <x:v>U-16</x:v>
      </x:c>
      <x:c r="B122" s="19" t="str">
        <x:v>Storlekar</x:v>
      </x:c>
      <x:c r="C122" s="19" t="str">
        <x:v>Ediel/Handbok</x:v>
      </x:c>
      <x:c r="D122" s="19" t="str">
        <x:v>UTILTS och allmänna Ediel-filer</x:v>
      </x:c>
      <x:c r="E122" s="19" t="str">
        <x:v>Paketering/kapacitetsplan</x:v>
      </x:c>
      <x:c r="F122" s="19" t="str">
        <x:v>T anger rekommenderad maxstorlek10MB; U anger fortfarande1MB och999transaktioner. Skilj rekommendation från syntax/nationell kardinalitet.</x:v>
      </x:c>
      <x:c r="G122" s="19" t="str">
        <x:v>Utgående U kan hållas inom1MB och999 för att uppfylla båda; dokumentera mottagarkapacitet och fulla grammatikgränser.</x:v>
      </x:c>
      <x:c r="H122" s="19" t="str">
        <x:v>Avvisa inte automatiskt meddelande över en rekommendation med påhittad syntaxfelkod.</x:v>
      </x:c>
      <x:c r="I122" s="19" t="str">
        <x:v>batch limits / source conflict registry</x:v>
      </x:c>
      <x:c r="J122" s="19" t="str">
        <x:v>T §7.6; U §3.6.20 s.48–49</x:v>
      </x:c>
      <x:c r="K122" s="19" t="str">
        <x:v>Implementering och beteendeprov krävs; inte produktionsgodkänt av detta dokument.</x:v>
      </x:c>
      <x:c r="L122" s="19" t="str">
        <x:v>Ej verifierad</x:v>
      </x:c>
      <x:c r="M122" s="19" t="str">
        <x:v>AT-U-16</x:v>
      </x:c>
      <x:c r="N122" s="19" t="str">
        <x:v>https://www.ediel.se/Info/edielanvisningar</x:v>
      </x:c>
    </x:row>
    <x:row r="123" ht="50.400001525878906" customHeight="1">
      <x:c r="A123" s="19" t="str">
        <x:v>U-17</x:v>
      </x:c>
      <x:c r="B123" s="19" t="str">
        <x:v>APERAK-fältreferens</x:v>
      </x:c>
      <x:c r="C123" s="19" t="str">
        <x:v>Ediel/Handbok</x:v>
      </x:c>
      <x:c r="D123" s="19" t="str">
        <x:v>UTILTS guidefel utan direkt numrerat fält</x:v>
      </x:c>
      <x:c r="E123" s="19" t="str">
        <x:v>Felreferens byggs</x:v>
      </x:c>
      <x:c r="F123" s="19" t="str">
        <x:v>När bilaga1 säger om möjligt används i första hand fältnummer; annars, om möjligt, angiven segment-/elementreferens med max17tecken.</x:v>
      </x:c>
      <x:c r="G123" s="19" t="str">
        <x:v>Behåll källstyrd hänvisning såsom DTM/2005 i tillämpligt fall.</x:v>
      </x:c>
      <x:c r="H123" s="19" t="str">
        <x:v>Påstå inte att alla fel måste ha ett numeriskt fältnummer eller gissa ett från kvalificeraren.</x:v>
      </x:c>
      <x:c r="I123" s="19" t="str">
        <x:v>U error mapper</x:v>
      </x:c>
      <x:c r="J123" s="19" t="str">
        <x:v>U bilaga1 s.121</x:v>
      </x:c>
      <x:c r="K123" s="19" t="str">
        <x:v>Implementering och beteendeprov krävs; inte produktionsgodkänt av detta dokument.</x:v>
      </x:c>
      <x:c r="L123" s="19" t="str">
        <x:v>Ej verifierad</x:v>
      </x:c>
      <x:c r="M123" s="19" t="str">
        <x:v>AT-U-17</x:v>
      </x:c>
      <x:c r="N123" s="19" t="str">
        <x:v>https://www.ediel.se/Info/edielanvisningar</x:v>
      </x:c>
    </x:row>
    <x:row r="124" ht="78" customHeight="1">
      <x:c r="A124" s="19" t="str">
        <x:v>U-18</x:v>
      </x:c>
      <x:c r="B124" s="19" t="str">
        <x:v>Observationsordning</x:v>
      </x:c>
      <x:c r="C124" s="19" t="str">
        <x:v>Ediel/Handbok</x:v>
      </x:c>
      <x:c r="D124" s="19" t="str">
        <x:v>UTILTS med ställningar och energi</x:v>
      </x:c>
      <x:c r="E124" s="19" t="str">
        <x:v>Observationer parsas/byggs</x:v>
      </x:c>
      <x:c r="F124" s="19" t="str">
        <x:v>Håll energier sammanhängande och tidsordnade; ställningar sammanhängande och tidsordnade. Blockens inbördes ordning är valfri. Samma ställning med tid får inte dupliceras inom transaktionen.</x:v>
      </x:c>
      <x:c r="G124" s="19" t="str">
        <x:v>Bevara observationernas typ och ordning enligt gruppen.</x:v>
      </x:c>
      <x:c r="H124" s="19" t="str">
        <x:v>Kräv inte alltid ställningar först och blanda inte ställningar mellan energivärden.</x:v>
      </x:c>
      <x:c r="I124" s="19" t="str">
        <x:v>observation parser / builder</x:v>
      </x:c>
      <x:c r="J124" s="19" t="str">
        <x:v>U §3.6.18 s.47</x:v>
      </x:c>
      <x:c r="K124" s="19" t="str">
        <x:v>Implementering och beteendeprov krävs; inte produktionsgodkänt av detta dokument.</x:v>
      </x:c>
      <x:c r="L124" s="19" t="str">
        <x:v>Ej verifierad</x:v>
      </x:c>
      <x:c r="M124" s="19" t="str">
        <x:v>AT-U-18</x:v>
      </x:c>
      <x:c r="N124" s="19" t="str">
        <x:v>https://www.ediel.se/Info/edielanvisningar</x:v>
      </x:c>
    </x:row>
    <x:row r="125" ht="64.19999694824219" customHeight="1">
      <x:c r="A125" s="19" t="str">
        <x:v>U-19</x:v>
      </x:c>
      <x:c r="B125" s="19" t="str">
        <x:v>PRODAT-referens i UTILTS</x:v>
      </x:c>
      <x:c r="C125" s="19" t="str">
        <x:v>Ediel/Handbok</x:v>
      </x:c>
      <x:c r="D125" s="19" t="str">
        <x:v>RFF med referensfält226</x:v>
      </x:c>
      <x:c r="E125" s="19" t="str">
        <x:v>Nationell kontroll</x:v>
      </x:c>
      <x:c r="F125" s="19" t="str">
        <x:v>Referens till PRODAT-ärende används för korrelation där den går att knyta; bilaga1 anger inga kontroller av värdet och ingen avvisning om kvalificeraren inte är TN.</x:v>
      </x:c>
      <x:c r="G125" s="19" t="str">
        <x:v>Använd referensen för möjlig korrelation utan att göra den till obligatorisk auktoriseringsnyckel för alla serier.</x:v>
      </x:c>
      <x:c r="H125" s="19" t="str">
        <x:v>Avvisa inte giltig E66 enbart för avsaknad/fel korrelationsreferens där guiden inte föreskriver det.</x:v>
      </x:c>
      <x:c r="I125" s="19" t="str">
        <x:v>UTILTS national validator / correlator</x:v>
      </x:c>
      <x:c r="J125" s="19" t="str">
        <x:v>U §3.6.12; bilaga1 s.126</x:v>
      </x:c>
      <x:c r="K125" s="19" t="str">
        <x:v>Implementering och beteendeprov krävs; inte produktionsgodkänt av detta dokument.</x:v>
      </x:c>
      <x:c r="L125" s="19" t="str">
        <x:v>Ej verifierad</x:v>
      </x:c>
      <x:c r="M125" s="19" t="str">
        <x:v>AT-U-19</x:v>
      </x:c>
      <x:c r="N125" s="19" t="str">
        <x:v>https://www.ediel.se/Info/edielanvisningar</x:v>
      </x:c>
    </x:row>
  </x:sheetData>
  <x:mergeCells>
    <x:mergeCell ref="A1:N1"/>
    <x:mergeCell ref="A2:N2"/>
  </x:mergeCells>
  <x:dataValidations count="1">
    <x:dataValidation type="list" sqref="L5:L125">
      <x:formula1>"Ej verifierad,Pågår,Implementerad, prov återstår,Verifierad med bevis,Blockerad av underlag"</x:formula1>
    </x:dataValidation>
  </x:dataValidations>
  <x:pageMargins left="0.7" right="0.7" top="0.75" bottom="0.75" header="0.3" footer="0.3"/>
  <x:tableParts count="1">
    <x:tablePart xmlns:r="http://schemas.openxmlformats.org/officeDocument/2006/relationships" r:id="R41b41ad3cef74670"/>
  </x:tableParts>
</x:worksheet>
</file>

<file path=xl/worksheets/sheet3.xml><?xml version="1.0" encoding="utf-8"?>
<x:worksheet xmlns:x="http://schemas.openxmlformats.org/spreadsheetml/2006/main">
  <x:sheetFormatPr defaultRowHeight="15"/>
  <x:cols>
    <x:col min="1" max="1" width="32" hidden="0" customWidth="1"/>
    <x:col min="2" max="2" width="12" hidden="0" customWidth="1"/>
    <x:col min="3" max="3" width="12" hidden="0" customWidth="1"/>
    <x:col min="4" max="4" width="14" hidden="0" customWidth="1"/>
    <x:col min="5" max="5" width="16" hidden="0" customWidth="1"/>
    <x:col min="6" max="6" width="16" hidden="0" customWidth="1"/>
    <x:col min="7" max="7" width="30" hidden="0" customWidth="1"/>
    <x:col min="8" max="8" width="46" hidden="0" customWidth="1"/>
    <x:col min="9" max="9" width="46" hidden="0" customWidth="1"/>
    <x:col min="10" max="10" width="46" hidden="0" customWidth="1"/>
    <x:col min="11" max="11" width="46" hidden="0" customWidth="1"/>
    <x:col min="12" max="12" width="34" hidden="0" customWidth="1"/>
    <x:col min="13" max="13" width="32" hidden="0" customWidth="1"/>
    <x:col min="14" max="14" width="36" hidden="0" customWidth="1"/>
    <x:col min="15" max="15" width="34" hidden="0" customWidth="1"/>
  </x:cols>
  <x:sheetData>
    <x:row r="1" ht="30" customHeight="1">
      <x:c r="A1" s="3" t="str">
        <x:v>PRODAT-fall · Gridex Ediel v2</x:v>
      </x:c>
      <x:c r="B1" s="3"/>
      <x:c r="C1" s="3"/>
      <x:c r="D1" s="3"/>
      <x:c r="E1" s="3"/>
      <x:c r="F1" s="3"/>
      <x:c r="G1" s="3"/>
      <x:c r="H1" s="3"/>
      <x:c r="I1" s="3"/>
      <x:c r="J1" s="3"/>
      <x:c r="K1" s="3"/>
      <x:c r="L1" s="3"/>
      <x:c r="M1" s="3"/>
      <x:c r="N1" s="3"/>
      <x:c r="O1" s="3"/>
    </x:row>
    <x:row r="2" ht="34" customHeight="1">
      <x:c r="A2" s="8" t="str">
        <x:v>38 separata funktion/undertypfall. DSOs sändningsriktning får inte aktiveras som DDQ/DGI.</x:v>
      </x:c>
      <x:c r="B2" s="8"/>
      <x:c r="C2" s="8"/>
      <x:c r="D2" s="8"/>
      <x:c r="E2" s="8"/>
      <x:c r="F2" s="8"/>
      <x:c r="G2" s="8"/>
      <x:c r="H2" s="8"/>
      <x:c r="I2" s="8"/>
      <x:c r="J2" s="8"/>
      <x:c r="K2" s="8"/>
      <x:c r="L2" s="8"/>
      <x:c r="M2" s="8"/>
      <x:c r="N2" s="8"/>
      <x:c r="O2" s="8"/>
    </x:row>
    <x:row r="4" ht="37" customHeight="1">
      <x:c r="A4" s="14" t="str">
        <x:v>Fall-id</x:v>
      </x:c>
      <x:c r="B4" s="14" t="str">
        <x:v>Funktion</x:v>
      </x:c>
      <x:c r="C4" s="14" t="str">
        <x:v>Undertyp</x:v>
      </x:c>
      <x:c r="D4" s="14" t="str">
        <x:v>Wire-orsak</x:v>
      </x:c>
      <x:c r="E4" s="14" t="str">
        <x:v>Roll</x:v>
      </x:c>
      <x:c r="F4" s="14" t="str">
        <x:v>Riktning</x:v>
      </x:c>
      <x:c r="G4" s="14" t="str">
        <x:v>Application Reference</x:v>
      </x:c>
      <x:c r="H4" s="14" t="str">
        <x:v>Utlösare</x:v>
      </x:c>
      <x:c r="I4" s="14" t="str">
        <x:v>Förväntat svar / händelse</x:v>
      </x:c>
      <x:c r="J4" s="14" t="str">
        <x:v>Tillåten effekt</x:v>
      </x:c>
      <x:c r="K4" s="14" t="str">
        <x:v>Ytterligare villkor</x:v>
      </x:c>
      <x:c r="L4" s="14" t="str">
        <x:v>Aktivering</x:v>
      </x:c>
      <x:c r="M4" s="14" t="str">
        <x:v>Fältprofil</x:v>
      </x:c>
      <x:c r="N4" s="14" t="str">
        <x:v>Källa</x:v>
      </x:c>
      <x:c r="O4" s="14" t="str">
        <x:v>Acceptans-id</x:v>
      </x:c>
    </x:row>
    <x:row r="5" ht="50.400001525878906" customHeight="1">
      <x:c r="A5" s="19" t="str">
        <x:v>CASE-Z01L-SUPPLIER</x:v>
      </x:c>
      <x:c r="B5" s="19" t="str">
        <x:v>Z01</x:v>
      </x:c>
      <x:c r="C5" s="19" t="str">
        <x:v>L</x:v>
      </x:c>
      <x:c r="D5" s="19" t="str">
        <x:v>Z22</x:v>
      </x:c>
      <x:c r="E5" s="19" t="str">
        <x:v>SUPPLIER</x:v>
      </x:c>
      <x:c r="F5" s="19" t="str">
        <x:v>outbound</x:v>
      </x:c>
      <x:c r="G5" s="19" t="str">
        <x:v>23-DDQ-PRODAT</x:v>
      </x:c>
      <x:c r="H5" s="19" t="str">
        <x:v>Behörig kontroll av kundens nätavtalsuppgifter inför möjlig start; inte obligatoriskt om korrekta uppgifter redan finns.</x:v>
      </x:c>
      <x:c r="I5" s="19" t="str">
        <x:v>CONTRL; Z02 eller negativ APERAK. AB kan begäras men positiv APERAK är ingen startspärr.</x:v>
      </x:c>
      <x:c r="J5" s="19" t="str">
        <x:v>Skapa uppgiftsärende och bevakning; ingen leveransaktivering.</x:v>
      </x:c>
      <x:c r="K5" s="19" t="str">
        <x:v>Kund/fullmakt, anläggning, nätområde och avtalad tilltänkt start enligt fältprofil.</x:v>
      </x:c>
      <x:c r="L5" s="19" t="str">
        <x:v>Tillämplig</x:v>
      </x:c>
      <x:c r="M5" s="19" t="str">
        <x:v>prodat_fields + prodat_conditional_cells + parent_group + register_overlay</x:v>
      </x:c>
      <x:c r="N5" s="19" t="str">
        <x:v>P §2.1–2.2,2.6; HB kap.4,10,11</x:v>
      </x:c>
      <x:c r="O5" s="19" t="str">
        <x:v>AT-Z01L-SUPPLIER</x:v>
      </x:c>
    </x:row>
    <x:row r="6" ht="50.400001525878906" customHeight="1">
      <x:c r="A6" s="19" t="str">
        <x:v>CASE-Z02L-SUPPLIER</x:v>
      </x:c>
      <x:c r="B6" s="19" t="str">
        <x:v>Z02</x:v>
      </x:c>
      <x:c r="C6" s="19" t="str">
        <x:v>L</x:v>
      </x:c>
      <x:c r="D6" s="19" t="str">
        <x:v>Z22</x:v>
      </x:c>
      <x:c r="E6" s="19" t="str">
        <x:v>SUPPLIER</x:v>
      </x:c>
      <x:c r="F6" s="19" t="str">
        <x:v>inbound</x:v>
      </x:c>
      <x:c r="G6" s="19" t="str">
        <x:v>23-DDQ-PRODAT</x:v>
      </x:c>
      <x:c r="H6" s="19" t="str">
        <x:v>Svar på egen korrelerad Z01.</x:v>
      </x:c>
      <x:c r="I6" s="19" t="str">
        <x:v>Generera CONTRL och tillämplig APERAK; inget automatiskt kvittenskrav före behandling.</x:v>
      </x:c>
      <x:c r="J6" s="19" t="str">
        <x:v>Validera rätt kund/objekt/nätområde/LI; lagra verifierade uppgifter; pröva därefter om separat Z03-kommando är redo.</x:v>
      </x:c>
      <x:c r="K6" s="19" t="str">
        <x:v>Inte Z03 eller Z04; får inte aktivera leverans.</x:v>
      </x:c>
      <x:c r="L6" s="19" t="str">
        <x:v>Tillämplig</x:v>
      </x:c>
      <x:c r="M6" s="19" t="str">
        <x:v>prodat_fields + prodat_conditional_cells + parent_group + register_overlay</x:v>
      </x:c>
      <x:c r="N6" s="19" t="str">
        <x:v>P §2.1–2.2,2.6; HB kap.4,10,11</x:v>
      </x:c>
      <x:c r="O6" s="19" t="str">
        <x:v>AT-Z02L-SUPPLIER</x:v>
      </x:c>
    </x:row>
    <x:row r="7" ht="50.400001525878906" customHeight="1">
      <x:c r="A7" s="19" t="str">
        <x:v>CASE-Z03L-SUPPLIER</x:v>
      </x:c>
      <x:c r="B7" s="19" t="str">
        <x:v>Z03</x:v>
      </x:c>
      <x:c r="C7" s="19" t="str">
        <x:v>L</x:v>
      </x:c>
      <x:c r="D7" s="19" t="str">
        <x:v>Z22</x:v>
      </x:c>
      <x:c r="E7" s="19" t="str">
        <x:v>SUPPLIER</x:v>
      </x:c>
      <x:c r="F7" s="19" t="str">
        <x:v>outbound</x:v>
      </x:c>
      <x:c r="G7" s="19" t="str">
        <x:v>23-DDQ-PRODAT</x:v>
      </x:c>
      <x:c r="H7" s="19" t="str">
        <x:v>Nytt giltigt leveransavtal; L=leverantörsbyte, LK=kund- och leverantörsbyte/flytt.</x:v>
      </x:c>
      <x:c r="I7" s="19" t="str">
        <x:v>CONTRL, APERAK, rätt Z04L/LK; dessa är olika förväntningar.</x:v>
      </x:c>
      <x:c r="J7" s="19" t="str">
        <x:v>Skapa bytes-/flyttärende och tillåtna timers, inte aktiv leverans.</x:v>
      </x:c>
      <x:c r="K7" s="19" t="str">
        <x:v>Startfönster L D-14 dagar; LK senast inflyttningsdagen; max14 kalendermånader före.</x:v>
      </x:c>
      <x:c r="L7" s="19" t="str">
        <x:v>Tillämplig</x:v>
      </x:c>
      <x:c r="M7" s="19" t="str">
        <x:v>prodat_fields + prodat_conditional_cells + parent_group + register_overlay</x:v>
      </x:c>
      <x:c r="N7" s="19" t="str">
        <x:v>P §2.1–2.2,2.6; HB kap.4,10,11</x:v>
      </x:c>
      <x:c r="O7" s="19" t="str">
        <x:v>AT-Z03L-SUPPLIER</x:v>
      </x:c>
    </x:row>
    <x:row r="8" ht="50.400001525878906" customHeight="1">
      <x:c r="A8" s="19" t="str">
        <x:v>CASE-Z04L-SUPPLIER</x:v>
      </x:c>
      <x:c r="B8" s="19" t="str">
        <x:v>Z04</x:v>
      </x:c>
      <x:c r="C8" s="19" t="str">
        <x:v>L</x:v>
      </x:c>
      <x:c r="D8" s="19" t="str">
        <x:v>Z22</x:v>
      </x:c>
      <x:c r="E8" s="19" t="str">
        <x:v>SUPPLIER</x:v>
      </x:c>
      <x:c r="F8" s="19" t="str">
        <x:v>inbound</x:v>
      </x:c>
      <x:c r="G8" s="19" t="str">
        <x:v>23-DDQ-PRODAT</x:v>
      </x:c>
      <x:c r="H8" s="19" t="str">
        <x:v>Nätägarens affärsbekräftelse på egen Z03.</x:v>
      </x:c>
      <x:c r="I8" s="19" t="str">
        <x:v>CONTRL och tillämplig APERAK i retur.</x:v>
      </x:c>
      <x:c r="J8" s="19" t="str">
        <x:v>Skapa bekräftad framtida leveransperiod; aktivera först vid korrekt start och oförändrat giltigt ärende.</x:v>
      </x:c>
      <x:c r="K8" s="19" t="str">
        <x:v>Z04 får komma före positiv APERAK. Samma LI ensamt räcker inte för korrelation.</x:v>
      </x:c>
      <x:c r="L8" s="19" t="str">
        <x:v>Tillämplig</x:v>
      </x:c>
      <x:c r="M8" s="19" t="str">
        <x:v>prodat_fields + prodat_conditional_cells + parent_group + register_overlay</x:v>
      </x:c>
      <x:c r="N8" s="19" t="str">
        <x:v>P §2.1–2.2,2.6; HB kap.4,10,11</x:v>
      </x:c>
      <x:c r="O8" s="19" t="str">
        <x:v>AT-Z04L-SUPPLIER</x:v>
      </x:c>
    </x:row>
    <x:row r="9" ht="50.400001525878906" customHeight="1">
      <x:c r="A9" s="19" t="str">
        <x:v>CASE-Z05L-SUPPLIER</x:v>
      </x:c>
      <x:c r="B9" s="19" t="str">
        <x:v>Z05</x:v>
      </x:c>
      <x:c r="C9" s="19" t="str">
        <x:v>L</x:v>
      </x:c>
      <x:c r="D9" s="19" t="str">
        <x:v>Z22</x:v>
      </x:c>
      <x:c r="E9" s="19" t="str">
        <x:v>SUPPLIER</x:v>
      </x:c>
      <x:c r="F9" s="19" t="str">
        <x:v>inbound</x:v>
      </x:c>
      <x:c r="G9" s="19" t="str">
        <x:v>23-DDQ-PRODAT</x:v>
      </x:c>
      <x:c r="H9" s="19" t="str">
        <x:v>Nätägarens information till tidigare leverantör.</x:v>
      </x:c>
      <x:c r="I9" s="19" t="str">
        <x:v>CONTRL och tillämplig APERAK; normalt ingen egen affärsbekräftelse tillbaka.</x:v>
      </x:c>
      <x:c r="J9" s="19" t="str">
        <x:v>Avsluta berörd leveransperiod vid angivet giltigt slut, planera slutvärden/slutunderlag; behåll historik.</x:v>
      </x:c>
      <x:c r="K9" s="19" t="str">
        <x:v>Z05L kan referera till Z08H; Z05LK kan vara följd av utflytt efter Z09E men är inte Z09E-svar.</x:v>
      </x:c>
      <x:c r="L9" s="19" t="str">
        <x:v>Tillämplig</x:v>
      </x:c>
      <x:c r="M9" s="19" t="str">
        <x:v>prodat_fields + prodat_conditional_cells + parent_group + register_overlay</x:v>
      </x:c>
      <x:c r="N9" s="19" t="str">
        <x:v>P §2.1–2.2,2.6; HB kap.4,10,11</x:v>
      </x:c>
      <x:c r="O9" s="19" t="str">
        <x:v>AT-Z05L-SUPPLIER</x:v>
      </x:c>
    </x:row>
    <x:row r="10" ht="50.400001525878906" customHeight="1">
      <x:c r="A10" s="19" t="str">
        <x:v>CASE-Z01LK-SUPPLIER</x:v>
      </x:c>
      <x:c r="B10" s="19" t="str">
        <x:v>Z01</x:v>
      </x:c>
      <x:c r="C10" s="19" t="str">
        <x:v>LK</x:v>
      </x:c>
      <x:c r="D10" s="19" t="str">
        <x:v>Z23</x:v>
      </x:c>
      <x:c r="E10" s="19" t="str">
        <x:v>SUPPLIER</x:v>
      </x:c>
      <x:c r="F10" s="19" t="str">
        <x:v>outbound</x:v>
      </x:c>
      <x:c r="G10" s="19" t="str">
        <x:v>23-DDQ-PRODAT</x:v>
      </x:c>
      <x:c r="H10" s="19" t="str">
        <x:v>Behörig kontroll av kundens nätavtalsuppgifter inför möjlig start; inte obligatoriskt om korrekta uppgifter redan finns.</x:v>
      </x:c>
      <x:c r="I10" s="19" t="str">
        <x:v>CONTRL; Z02 eller negativ APERAK. AB kan begäras men positiv APERAK är ingen startspärr.</x:v>
      </x:c>
      <x:c r="J10" s="19" t="str">
        <x:v>Skapa uppgiftsärende och bevakning; ingen leveransaktivering.</x:v>
      </x:c>
      <x:c r="K10" s="19" t="str">
        <x:v>Kund/fullmakt, anläggning, nätområde och avtalad tilltänkt start enligt fältprofil.</x:v>
      </x:c>
      <x:c r="L10" s="19" t="str">
        <x:v>Tillämplig</x:v>
      </x:c>
      <x:c r="M10" s="19" t="str">
        <x:v>prodat_fields + prodat_conditional_cells + parent_group + register_overlay</x:v>
      </x:c>
      <x:c r="N10" s="19" t="str">
        <x:v>P §2.1–2.2,2.6; HB kap.4,10,11</x:v>
      </x:c>
      <x:c r="O10" s="19" t="str">
        <x:v>AT-Z01LK-SUPPLIER</x:v>
      </x:c>
    </x:row>
    <x:row r="11" ht="50.400001525878906" customHeight="1">
      <x:c r="A11" s="19" t="str">
        <x:v>CASE-Z02LK-SUPPLIER</x:v>
      </x:c>
      <x:c r="B11" s="19" t="str">
        <x:v>Z02</x:v>
      </x:c>
      <x:c r="C11" s="19" t="str">
        <x:v>LK</x:v>
      </x:c>
      <x:c r="D11" s="19" t="str">
        <x:v>Z23</x:v>
      </x:c>
      <x:c r="E11" s="19" t="str">
        <x:v>SUPPLIER</x:v>
      </x:c>
      <x:c r="F11" s="19" t="str">
        <x:v>inbound</x:v>
      </x:c>
      <x:c r="G11" s="19" t="str">
        <x:v>23-DDQ-PRODAT</x:v>
      </x:c>
      <x:c r="H11" s="19" t="str">
        <x:v>Svar på egen korrelerad Z01.</x:v>
      </x:c>
      <x:c r="I11" s="19" t="str">
        <x:v>Generera CONTRL och tillämplig APERAK; inget automatiskt kvittenskrav före behandling.</x:v>
      </x:c>
      <x:c r="J11" s="19" t="str">
        <x:v>Validera rätt kund/objekt/nätområde/LI; lagra verifierade uppgifter; pröva därefter om separat Z03-kommando är redo.</x:v>
      </x:c>
      <x:c r="K11" s="19" t="str">
        <x:v>Inte Z03 eller Z04; får inte aktivera leverans.</x:v>
      </x:c>
      <x:c r="L11" s="19" t="str">
        <x:v>Tillämplig</x:v>
      </x:c>
      <x:c r="M11" s="19" t="str">
        <x:v>prodat_fields + prodat_conditional_cells + parent_group + register_overlay</x:v>
      </x:c>
      <x:c r="N11" s="19" t="str">
        <x:v>P §2.1–2.2,2.6; HB kap.4,10,11</x:v>
      </x:c>
      <x:c r="O11" s="19" t="str">
        <x:v>AT-Z02LK-SUPPLIER</x:v>
      </x:c>
    </x:row>
    <x:row r="12" ht="50.400001525878906" customHeight="1">
      <x:c r="A12" s="19" t="str">
        <x:v>CASE-Z03LK-SUPPLIER</x:v>
      </x:c>
      <x:c r="B12" s="19" t="str">
        <x:v>Z03</x:v>
      </x:c>
      <x:c r="C12" s="19" t="str">
        <x:v>LK</x:v>
      </x:c>
      <x:c r="D12" s="19" t="str">
        <x:v>Z23</x:v>
      </x:c>
      <x:c r="E12" s="19" t="str">
        <x:v>SUPPLIER</x:v>
      </x:c>
      <x:c r="F12" s="19" t="str">
        <x:v>outbound</x:v>
      </x:c>
      <x:c r="G12" s="19" t="str">
        <x:v>23-DDQ-PRODAT</x:v>
      </x:c>
      <x:c r="H12" s="19" t="str">
        <x:v>Nytt giltigt leveransavtal; L=leverantörsbyte, LK=kund- och leverantörsbyte/flytt.</x:v>
      </x:c>
      <x:c r="I12" s="19" t="str">
        <x:v>CONTRL, APERAK, rätt Z04L/LK; dessa är olika förväntningar.</x:v>
      </x:c>
      <x:c r="J12" s="19" t="str">
        <x:v>Skapa bytes-/flyttärende och tillåtna timers, inte aktiv leverans.</x:v>
      </x:c>
      <x:c r="K12" s="19" t="str">
        <x:v>Startfönster L D-14 dagar; LK senast inflyttningsdagen; max14 kalendermånader före.</x:v>
      </x:c>
      <x:c r="L12" s="19" t="str">
        <x:v>Tillämplig</x:v>
      </x:c>
      <x:c r="M12" s="19" t="str">
        <x:v>prodat_fields + prodat_conditional_cells + parent_group + register_overlay</x:v>
      </x:c>
      <x:c r="N12" s="19" t="str">
        <x:v>P §2.1–2.2,2.6; HB kap.4,10,11</x:v>
      </x:c>
      <x:c r="O12" s="19" t="str">
        <x:v>AT-Z03LK-SUPPLIER</x:v>
      </x:c>
    </x:row>
    <x:row r="13" ht="50.400001525878906" customHeight="1">
      <x:c r="A13" s="19" t="str">
        <x:v>CASE-Z04LK-SUPPLIER</x:v>
      </x:c>
      <x:c r="B13" s="19" t="str">
        <x:v>Z04</x:v>
      </x:c>
      <x:c r="C13" s="19" t="str">
        <x:v>LK</x:v>
      </x:c>
      <x:c r="D13" s="19" t="str">
        <x:v>Z23</x:v>
      </x:c>
      <x:c r="E13" s="19" t="str">
        <x:v>SUPPLIER</x:v>
      </x:c>
      <x:c r="F13" s="19" t="str">
        <x:v>inbound</x:v>
      </x:c>
      <x:c r="G13" s="19" t="str">
        <x:v>23-DDQ-PRODAT</x:v>
      </x:c>
      <x:c r="H13" s="19" t="str">
        <x:v>Nätägarens affärsbekräftelse på egen Z03.</x:v>
      </x:c>
      <x:c r="I13" s="19" t="str">
        <x:v>CONTRL och tillämplig APERAK i retur.</x:v>
      </x:c>
      <x:c r="J13" s="19" t="str">
        <x:v>Skapa bekräftad framtida leveransperiod; aktivera först vid korrekt start och oförändrat giltigt ärende.</x:v>
      </x:c>
      <x:c r="K13" s="19" t="str">
        <x:v>Z04 får komma före positiv APERAK. Samma LI ensamt räcker inte för korrelation.</x:v>
      </x:c>
      <x:c r="L13" s="19" t="str">
        <x:v>Tillämplig</x:v>
      </x:c>
      <x:c r="M13" s="19" t="str">
        <x:v>prodat_fields + prodat_conditional_cells + parent_group + register_overlay</x:v>
      </x:c>
      <x:c r="N13" s="19" t="str">
        <x:v>P §2.1–2.2,2.6; HB kap.4,10,11</x:v>
      </x:c>
      <x:c r="O13" s="19" t="str">
        <x:v>AT-Z04LK-SUPPLIER</x:v>
      </x:c>
    </x:row>
    <x:row r="14" ht="50.400001525878906" customHeight="1">
      <x:c r="A14" s="19" t="str">
        <x:v>CASE-Z05LK-SUPPLIER</x:v>
      </x:c>
      <x:c r="B14" s="19" t="str">
        <x:v>Z05</x:v>
      </x:c>
      <x:c r="C14" s="19" t="str">
        <x:v>LK</x:v>
      </x:c>
      <x:c r="D14" s="19" t="str">
        <x:v>Z23</x:v>
      </x:c>
      <x:c r="E14" s="19" t="str">
        <x:v>SUPPLIER</x:v>
      </x:c>
      <x:c r="F14" s="19" t="str">
        <x:v>inbound</x:v>
      </x:c>
      <x:c r="G14" s="19" t="str">
        <x:v>23-DDQ-PRODAT</x:v>
      </x:c>
      <x:c r="H14" s="19" t="str">
        <x:v>Nätägarens information till tidigare leverantör.</x:v>
      </x:c>
      <x:c r="I14" s="19" t="str">
        <x:v>CONTRL och tillämplig APERAK; normalt ingen egen affärsbekräftelse tillbaka.</x:v>
      </x:c>
      <x:c r="J14" s="19" t="str">
        <x:v>Avsluta berörd leveransperiod vid angivet giltigt slut, planera slutvärden/slutunderlag; behåll historik.</x:v>
      </x:c>
      <x:c r="K14" s="19" t="str">
        <x:v>Z05L kan referera till Z08H; Z05LK kan vara följd av utflytt efter Z09E men är inte Z09E-svar.</x:v>
      </x:c>
      <x:c r="L14" s="19" t="str">
        <x:v>Tillämplig</x:v>
      </x:c>
      <x:c r="M14" s="19" t="str">
        <x:v>prodat_fields + prodat_conditional_cells + parent_group + register_overlay</x:v>
      </x:c>
      <x:c r="N14" s="19" t="str">
        <x:v>P §2.1–2.2,2.6; HB kap.4,10,11</x:v>
      </x:c>
      <x:c r="O14" s="19" t="str">
        <x:v>AT-Z05LK-SUPPLIER</x:v>
      </x:c>
    </x:row>
    <x:row r="15" ht="50.400001525878906" customHeight="1">
      <x:c r="A15" s="19" t="str">
        <x:v>CASE-Z03C-SUPPLIER</x:v>
      </x:c>
      <x:c r="B15" s="19" t="str">
        <x:v>Z03</x:v>
      </x:c>
      <x:c r="C15" s="19" t="str">
        <x:v>C</x:v>
      </x:c>
      <x:c r="D15" s="19" t="str">
        <x:v>Z24</x:v>
      </x:c>
      <x:c r="E15" s="19" t="str">
        <x:v>SUPPLIER</x:v>
      </x:c>
      <x:c r="F15" s="19" t="str">
        <x:v>outbound</x:v>
      </x:c>
      <x:c r="G15" s="19" t="str">
        <x:v>23-DDQ-PRODAT</x:v>
      </x:c>
      <x:c r="H15" s="19" t="str">
        <x:v>Återtag av eget bytes-/flyttärende inom kancelleringsfönstret.</x:v>
      </x:c>
      <x:c r="I15" s="19" t="str">
        <x:v>CONTRL, APERAK och enligt förloppet Z04C.</x:v>
      </x:c>
      <x:c r="J15" s="19" t="str">
        <x:v>Markera kancellering begärd; inte färdig enbart på SMTP250.</x:v>
      </x:c>
      <x:c r="K15" s="19" t="str">
        <x:v>Referera rätt originalärende/objekt/kund; L senast4dagar före, LK senast inflyttningsdagen.</x:v>
      </x:c>
      <x:c r="L15" s="19" t="str">
        <x:v>Tillämplig</x:v>
      </x:c>
      <x:c r="M15" s="19" t="str">
        <x:v>prodat_fields + prodat_conditional_cells + parent_group + register_overlay</x:v>
      </x:c>
      <x:c r="N15" s="19" t="str">
        <x:v>P §2.1–2.2,2.6; HB kap.4,10,11</x:v>
      </x:c>
      <x:c r="O15" s="19" t="str">
        <x:v>AT-Z03C-SUPPLIER</x:v>
      </x:c>
    </x:row>
    <x:row r="16" ht="64.19999694824219" customHeight="1">
      <x:c r="A16" s="19" t="str">
        <x:v>CASE-Z04C-SUPPLIER</x:v>
      </x:c>
      <x:c r="B16" s="19" t="str">
        <x:v>Z04</x:v>
      </x:c>
      <x:c r="C16" s="19" t="str">
        <x:v>C</x:v>
      </x:c>
      <x:c r="D16" s="19" t="str">
        <x:v>Z24</x:v>
      </x:c>
      <x:c r="E16" s="19" t="str">
        <x:v>SUPPLIER</x:v>
      </x:c>
      <x:c r="F16" s="19" t="str">
        <x:v>inbound</x:v>
      </x:c>
      <x:c r="G16" s="19" t="str">
        <x:v>23-DDQ-PRODAT</x:v>
      </x:c>
      <x:c r="H16" s="19" t="str">
        <x:v>Bekräftelse/korrigering som upphäver berört startförlopp.</x:v>
      </x:c>
      <x:c r="I16" s="19" t="str">
        <x:v>CONTRL och tillämplig APERAK.</x:v>
      </x:c>
      <x:c r="J16" s="19" t="str">
        <x:v>Upphäv endast rätt bekräftade/framtida period; vid redan verkställd effekt starta kontrollerad kompensation.</x:v>
      </x:c>
      <x:c r="K16" s="19" t="str">
        <x:v>Bevara original- och kancelleringsordning; kancellering före original lagras för begränsad korrelation, ingen godtycklig aktivering.</x:v>
      </x:c>
      <x:c r="L16" s="19" t="str">
        <x:v>Tillämplig</x:v>
      </x:c>
      <x:c r="M16" s="19" t="str">
        <x:v>prodat_fields + prodat_conditional_cells + parent_group + register_overlay</x:v>
      </x:c>
      <x:c r="N16" s="19" t="str">
        <x:v>P §2.1–2.2,2.6; HB kap.4,10,11</x:v>
      </x:c>
      <x:c r="O16" s="19" t="str">
        <x:v>AT-Z04C-SUPPLIER</x:v>
      </x:c>
    </x:row>
    <x:row r="17" ht="50.400001525878906" customHeight="1">
      <x:c r="A17" s="19" t="str">
        <x:v>CASE-Z05C-SUPPLIER</x:v>
      </x:c>
      <x:c r="B17" s="19" t="str">
        <x:v>Z05</x:v>
      </x:c>
      <x:c r="C17" s="19" t="str">
        <x:v>C</x:v>
      </x:c>
      <x:c r="D17" s="19" t="str">
        <x:v>Z24</x:v>
      </x:c>
      <x:c r="E17" s="19" t="str">
        <x:v>SUPPLIER</x:v>
      </x:c>
      <x:c r="F17" s="19" t="str">
        <x:v>inbound</x:v>
      </x:c>
      <x:c r="G17" s="19" t="str">
        <x:v>23-DDQ-PRODAT</x:v>
      </x:c>
      <x:c r="H17" s="19" t="str">
        <x:v>Tidigare meddelat leveransslut återtas.</x:v>
      </x:c>
      <x:c r="I17" s="19" t="str">
        <x:v>CONTRL och tillämplig APERAK.</x:v>
      </x:c>
      <x:c r="J17" s="19" t="str">
        <x:v>Återställ rätt avslutsbeslut efter kontroll; skapa inte duplicerad leveransperiod.</x:v>
      </x:c>
      <x:c r="K17" s="19" t="str">
        <x:v>Skilj återtag av leveransslut från ESCO Z15C.</x:v>
      </x:c>
      <x:c r="L17" s="19" t="str">
        <x:v>Tillämplig</x:v>
      </x:c>
      <x:c r="M17" s="19" t="str">
        <x:v>prodat_fields + prodat_conditional_cells + parent_group + register_overlay</x:v>
      </x:c>
      <x:c r="N17" s="19" t="str">
        <x:v>P §2.1–2.2,2.6; HB kap.4,10,11</x:v>
      </x:c>
      <x:c r="O17" s="19" t="str">
        <x:v>AT-Z05C-SUPPLIER</x:v>
      </x:c>
    </x:row>
    <x:row r="18" ht="50.400001525878906" customHeight="1">
      <x:c r="A18" s="19" t="str">
        <x:v>CASE-Z04A-SUPPLIER</x:v>
      </x:c>
      <x:c r="B18" s="19" t="str">
        <x:v>Z04</x:v>
      </x:c>
      <x:c r="C18" s="19" t="str">
        <x:v>A</x:v>
      </x:c>
      <x:c r="D18" s="19" t="str">
        <x:v>Z26</x:v>
      </x:c>
      <x:c r="E18" s="19" t="str">
        <x:v>SUPPLIER</x:v>
      </x:c>
      <x:c r="F18" s="19" t="str">
        <x:v>inbound</x:v>
      </x:c>
      <x:c r="G18" s="19" t="str">
        <x:v>23-DDQ-PRODAT</x:v>
      </x:c>
      <x:c r="H18" s="19" t="str">
        <x:v>Nätägarens anvisning när aktören är behörig anvisad leverantör.</x:v>
      </x:c>
      <x:c r="I18" s="19" t="str">
        <x:v>CONTRL och tillämplig APERAK.</x:v>
      </x:c>
      <x:c r="J18" s="19" t="str">
        <x:v>Registrera anvisningsprocess och korrekt start.</x:v>
      </x:c>
      <x:c r="K18" s="19" t="str">
        <x:v>Dokumenterad anvisningsöverenskommelse i rätt nätområde; kräver inte egen Z03.</x:v>
      </x:c>
      <x:c r="L18" s="19" t="str">
        <x:v>Bilateral/rollvillkor</x:v>
      </x:c>
      <x:c r="M18" s="19" t="str">
        <x:v>prodat_fields + prodat_conditional_cells + parent_group + register_overlay</x:v>
      </x:c>
      <x:c r="N18" s="19" t="str">
        <x:v>P §2.1–2.2,2.6; HB kap.4,10,11</x:v>
      </x:c>
      <x:c r="O18" s="19" t="str">
        <x:v>AT-Z04A-SUPPLIER</x:v>
      </x:c>
    </x:row>
    <x:row r="19" ht="50.400001525878906" customHeight="1">
      <x:c r="A19" s="19" t="str">
        <x:v>CASE-Z04D-SUPPLIER</x:v>
      </x:c>
      <x:c r="B19" s="19" t="str">
        <x:v>Z04</x:v>
      </x:c>
      <x:c r="C19" s="19" t="str">
        <x:v>D</x:v>
      </x:c>
      <x:c r="D19" s="19" t="str">
        <x:v>Z70</x:v>
      </x:c>
      <x:c r="E19" s="19" t="str">
        <x:v>SUPPLIER</x:v>
      </x:c>
      <x:c r="F19" s="19" t="str">
        <x:v>inbound</x:v>
      </x:c>
      <x:c r="G19" s="19" t="str">
        <x:v>23-DDQ-PRODAT</x:v>
      </x:c>
      <x:c r="H19" s="19" t="str">
        <x:v>Mottagningsplikt för produktion enligt tillämpligt produktionsförlopp.</x:v>
      </x:c>
      <x:c r="I19" s="19" t="str">
        <x:v>CONTRL och tillämplig APERAK.</x:v>
      </x:c>
      <x:c r="J19" s="19" t="str">
        <x:v>Skapa separat produktions-/mottagningsrelation, knyt till förbrukningsobjekt via319.</x:v>
      </x:c>
      <x:c r="K19" s="19" t="str">
        <x:v>Inte bara mikroproduktion; inte generell Z03-guard eller konsumentaktivering.</x:v>
      </x:c>
      <x:c r="L19" s="19" t="str">
        <x:v>Tillämplig</x:v>
      </x:c>
      <x:c r="M19" s="19" t="str">
        <x:v>prodat_fields + prodat_conditional_cells + parent_group + register_overlay</x:v>
      </x:c>
      <x:c r="N19" s="19" t="str">
        <x:v>P §2.1–2.2,2.6; HB kap.4,10,11</x:v>
      </x:c>
      <x:c r="O19" s="19" t="str">
        <x:v>AT-Z04D-SUPPLIER</x:v>
      </x:c>
    </x:row>
    <x:row r="20" ht="50.400001525878906" customHeight="1">
      <x:c r="A20" s="19" t="str">
        <x:v>CASE-Z03H-SUPPLIER</x:v>
      </x:c>
      <x:c r="B20" s="19" t="str">
        <x:v>Z03</x:v>
      </x:c>
      <x:c r="C20" s="19" t="str">
        <x:v>H</x:v>
      </x:c>
      <x:c r="D20" s="19" t="str">
        <x:v>Z25</x:v>
      </x:c>
      <x:c r="E20" s="19" t="str">
        <x:v>SUPPLIER</x:v>
      </x:c>
      <x:c r="F20" s="19" t="str">
        <x:v>outbound</x:v>
      </x:c>
      <x:c r="G20" s="19" t="str">
        <x:v>23-DDQ-PRODAT</x:v>
      </x:c>
      <x:c r="H20" s="19" t="str">
        <x:v>Särskilt avtalad användning av ospecificerad/hävningsanknuten transaktion.</x:v>
      </x:c>
      <x:c r="I20" s="19" t="str">
        <x:v>Kvittens och affärsförlopp enligt uttrycklig bilateral process.</x:v>
      </x:c>
      <x:c r="J20" s="19" t="str">
        <x:v>Ingen automatisk standardeffekt utan fastställd bilateral transitionsprofil.</x:v>
      </x:c>
      <x:c r="K20" s="19" t="str">
        <x:v>Känd kod ≠ generell produktionsbehörighet; konkret avtal och exakta fält/timers krävs.</x:v>
      </x:c>
      <x:c r="L20" s="19" t="str">
        <x:v>Bilateral – aktiveras inte utan profil</x:v>
      </x:c>
      <x:c r="M20" s="19" t="str">
        <x:v>prodat_fields + prodat_conditional_cells + parent_group + register_overlay</x:v>
      </x:c>
      <x:c r="N20" s="19" t="str">
        <x:v>P §2.1–2.2,2.6; HB kap.4,10,11</x:v>
      </x:c>
      <x:c r="O20" s="19" t="str">
        <x:v>AT-Z03H-SUPPLIER</x:v>
      </x:c>
    </x:row>
    <x:row r="21" ht="50.400001525878906" customHeight="1">
      <x:c r="A21" s="19" t="str">
        <x:v>CASE-Z04H-SUPPLIER</x:v>
      </x:c>
      <x:c r="B21" s="19" t="str">
        <x:v>Z04</x:v>
      </x:c>
      <x:c r="C21" s="19" t="str">
        <x:v>H</x:v>
      </x:c>
      <x:c r="D21" s="19" t="str">
        <x:v>Z25</x:v>
      </x:c>
      <x:c r="E21" s="19" t="str">
        <x:v>SUPPLIER</x:v>
      </x:c>
      <x:c r="F21" s="19" t="str">
        <x:v>inbound</x:v>
      </x:c>
      <x:c r="G21" s="19" t="str">
        <x:v>23-DDQ-PRODAT</x:v>
      </x:c>
      <x:c r="H21" s="19" t="str">
        <x:v>Särskilt avtalad användning av ospecificerad/hävningsanknuten transaktion.</x:v>
      </x:c>
      <x:c r="I21" s="19" t="str">
        <x:v>Kvittens och affärsförlopp enligt uttrycklig bilateral process.</x:v>
      </x:c>
      <x:c r="J21" s="19" t="str">
        <x:v>Ingen automatisk standardeffekt utan fastställd bilateral transitionsprofil.</x:v>
      </x:c>
      <x:c r="K21" s="19" t="str">
        <x:v>Känd kod ≠ generell produktionsbehörighet; konkret avtal och exakta fält/timers krävs.</x:v>
      </x:c>
      <x:c r="L21" s="19" t="str">
        <x:v>Bilateral – aktiveras inte utan profil</x:v>
      </x:c>
      <x:c r="M21" s="19" t="str">
        <x:v>prodat_fields + prodat_conditional_cells + parent_group + register_overlay</x:v>
      </x:c>
      <x:c r="N21" s="19" t="str">
        <x:v>P §2.1–2.2,2.6; HB kap.4,10,11</x:v>
      </x:c>
      <x:c r="O21" s="19" t="str">
        <x:v>AT-Z04H-SUPPLIER</x:v>
      </x:c>
    </x:row>
    <x:row r="22" ht="50.400001525878906" customHeight="1">
      <x:c r="A22" s="19" t="str">
        <x:v>CASE-Z05H-SUPPLIER</x:v>
      </x:c>
      <x:c r="B22" s="19" t="str">
        <x:v>Z05</x:v>
      </x:c>
      <x:c r="C22" s="19" t="str">
        <x:v>H</x:v>
      </x:c>
      <x:c r="D22" s="19" t="str">
        <x:v>Z25</x:v>
      </x:c>
      <x:c r="E22" s="19" t="str">
        <x:v>SUPPLIER</x:v>
      </x:c>
      <x:c r="F22" s="19" t="str">
        <x:v>inbound</x:v>
      </x:c>
      <x:c r="G22" s="19" t="str">
        <x:v>23-DDQ-PRODAT</x:v>
      </x:c>
      <x:c r="H22" s="19" t="str">
        <x:v>Särskilt avtalad användning av ospecificerad/hävningsanknuten transaktion.</x:v>
      </x:c>
      <x:c r="I22" s="19" t="str">
        <x:v>Kvittens och affärsförlopp enligt uttrycklig bilateral process.</x:v>
      </x:c>
      <x:c r="J22" s="19" t="str">
        <x:v>Ingen automatisk standardeffekt utan fastställd bilateral transitionsprofil.</x:v>
      </x:c>
      <x:c r="K22" s="19" t="str">
        <x:v>Känd kod ≠ generell produktionsbehörighet; konkret avtal och exakta fält/timers krävs.</x:v>
      </x:c>
      <x:c r="L22" s="19" t="str">
        <x:v>Bilateral – aktiveras inte utan profil</x:v>
      </x:c>
      <x:c r="M22" s="19" t="str">
        <x:v>prodat_fields + prodat_conditional_cells + parent_group + register_overlay</x:v>
      </x:c>
      <x:c r="N22" s="19" t="str">
        <x:v>P §2.1–2.2,2.6; HB kap.4,10,11</x:v>
      </x:c>
      <x:c r="O22" s="19" t="str">
        <x:v>AT-Z05H-SUPPLIER</x:v>
      </x:c>
    </x:row>
    <x:row r="23" ht="50.400001525878906" customHeight="1">
      <x:c r="A23" s="19" t="str">
        <x:v>CASE-Z08H-SUPPLIER</x:v>
      </x:c>
      <x:c r="B23" s="19" t="str">
        <x:v>Z08</x:v>
      </x:c>
      <x:c r="C23" s="19" t="str">
        <x:v>H</x:v>
      </x:c>
      <x:c r="D23" s="19" t="str">
        <x:v>Z25</x:v>
      </x:c>
      <x:c r="E23" s="19" t="str">
        <x:v>SUPPLIER</x:v>
      </x:c>
      <x:c r="F23" s="19" t="str">
        <x:v>outbound</x:v>
      </x:c>
      <x:c r="G23" s="19" t="str">
        <x:v>23-DDQ-PRODAT</x:v>
      </x:c>
      <x:c r="H23" s="19" t="str">
        <x:v>Behörigt avslut/hävning av elhandelsavtal.</x:v>
      </x:c>
      <x:c r="I23" s="19" t="str">
        <x:v>CONTRL, APERAK och relevant Z05L enligt förlopp.</x:v>
      </x:c>
      <x:c r="J23" s="19" t="str">
        <x:v>Bevakad avslutsbegäran och kontrollerat leveransslut.</x:v>
      </x:c>
      <x:c r="K23" s="19" t="str">
        <x:v>Juridiska förutsättningar för hävning måste vara dokumenterade; ingen automatisk hävning enbart vid betalningsflagga.</x:v>
      </x:c>
      <x:c r="L23" s="19" t="str">
        <x:v>Tillämplig</x:v>
      </x:c>
      <x:c r="M23" s="19" t="str">
        <x:v>prodat_fields + prodat_conditional_cells + parent_group + register_overlay</x:v>
      </x:c>
      <x:c r="N23" s="19" t="str">
        <x:v>P §2.1–2.2,2.6; HB kap.4,10,11</x:v>
      </x:c>
      <x:c r="O23" s="19" t="str">
        <x:v>AT-Z08H-SUPPLIER</x:v>
      </x:c>
    </x:row>
    <x:row r="24" ht="50.400001525878906" customHeight="1">
      <x:c r="A24" s="19" t="str">
        <x:v>CASE-Z08LK-SUPPLIER</x:v>
      </x:c>
      <x:c r="B24" s="19" t="str">
        <x:v>Z08</x:v>
      </x:c>
      <x:c r="C24" s="19" t="str">
        <x:v>LK</x:v>
      </x:c>
      <x:c r="D24" s="19" t="str">
        <x:v>Z23</x:v>
      </x:c>
      <x:c r="E24" s="19" t="str">
        <x:v>SUPPLIER</x:v>
      </x:c>
      <x:c r="F24" s="19" t="str">
        <x:v>outbound</x:v>
      </x:c>
      <x:c r="G24" s="19" t="str">
        <x:v>23-DDQ-PRODAT</x:v>
      </x:c>
      <x:c r="H24" s="19" t="str">
        <x:v>Bilateral användning för kund-/leverantörsbyte.</x:v>
      </x:c>
      <x:c r="I24" s="19" t="str">
        <x:v>Svar enligt uttryckligt avtal.</x:v>
      </x:c>
      <x:c r="J24" s="19" t="str">
        <x:v>Bara den överenskomna avsluts-/flyttprocessen.</x:v>
      </x:c>
      <x:c r="K24" s="19" t="str">
        <x:v>Inte universell ersättning för Z03LK.</x:v>
      </x:c>
      <x:c r="L24" s="19" t="str">
        <x:v>Bilateral – aktiveras inte utan profil</x:v>
      </x:c>
      <x:c r="M24" s="19" t="str">
        <x:v>prodat_fields + prodat_conditional_cells + parent_group + register_overlay</x:v>
      </x:c>
      <x:c r="N24" s="19" t="str">
        <x:v>P §2.1–2.2,2.6; HB kap.4,10,11</x:v>
      </x:c>
      <x:c r="O24" s="19" t="str">
        <x:v>AT-Z08LK-SUPPLIER</x:v>
      </x:c>
    </x:row>
    <x:row r="25" ht="50.400001525878906" customHeight="1">
      <x:c r="A25" s="19" t="str">
        <x:v>CASE-Z06E-SUPPLIER</x:v>
      </x:c>
      <x:c r="B25" s="19" t="str">
        <x:v>Z06</x:v>
      </x:c>
      <x:c r="C25" s="19" t="str">
        <x:v>E</x:v>
      </x:c>
      <x:c r="D25" s="19" t="str">
        <x:v>E34</x:v>
      </x:c>
      <x:c r="E25" s="19" t="str">
        <x:v>SUPPLIER</x:v>
      </x:c>
      <x:c r="F25" s="19" t="str">
        <x:v>inbound</x:v>
      </x:c>
      <x:c r="G25" s="19" t="str">
        <x:v>23-DDQ-PRODAT</x:v>
      </x:c>
      <x:c r="H25" s="19" t="str">
        <x:v>Nätägarens kund-/anläggningsuppdatering.</x:v>
      </x:c>
      <x:c r="I25" s="19" t="str">
        <x:v>CONTRL och APERAK enligt guide; ytterligare UTILTS för F enligt ändring och Handbok.</x:v>
      </x:c>
      <x:c r="J25" s="19" t="str">
        <x:v>Uppdatera tillåtna kunduppgifter i rätt livshändelse; dödsfalls- och konkursärenden separata.</x:v>
      </x:c>
      <x:c r="K25" s="19" t="str">
        <x:v>Z06E utanför fastställd standardlivshändelse kräver bilateral grund. Z06F/G får inte skriva kundidentitet från förbjuden NAD+UD.</x:v>
      </x:c>
      <x:c r="L25" s="19" t="str">
        <x:v>Tillämplig</x:v>
      </x:c>
      <x:c r="M25" s="19" t="str">
        <x:v>prodat_fields + prodat_conditional_cells + parent_group + register_overlay</x:v>
      </x:c>
      <x:c r="N25" s="19" t="str">
        <x:v>P §2.1–2.2,2.6; HB kap.4,10,11</x:v>
      </x:c>
      <x:c r="O25" s="19" t="str">
        <x:v>AT-Z06E-SUPPLIER</x:v>
      </x:c>
    </x:row>
    <x:row r="26" ht="50.400001525878906" customHeight="1">
      <x:c r="A26" s="19" t="str">
        <x:v>CASE-Z09E-SUPPLIER</x:v>
      </x:c>
      <x:c r="B26" s="19" t="str">
        <x:v>Z09</x:v>
      </x:c>
      <x:c r="C26" s="19" t="str">
        <x:v>E</x:v>
      </x:c>
      <x:c r="D26" s="19" t="str">
        <x:v>E34</x:v>
      </x:c>
      <x:c r="E26" s="19" t="str">
        <x:v>SUPPLIER</x:v>
      </x:c>
      <x:c r="F26" s="19" t="str">
        <x:v>outbound</x:v>
      </x:c>
      <x:c r="G26" s="19" t="str">
        <x:v>23-DDQ-PRODAT</x:v>
      </x:c>
      <x:c r="H26" s="19" t="str">
        <x:v>Anmäl rätt kundlivshändelse/överenskommen uppgiftsändring.</x:v>
      </x:c>
      <x:c r="I26" s="19" t="str">
        <x:v>CONTRL, APERAK och enligt processen senare Z06; inget påhittat direkt affärssvar.</x:v>
      </x:c>
      <x:c r="J26" s="19" t="str">
        <x:v>Registrera önskad förändring; mottagen bekräftad struktur har egen versionshantering.</x:v>
      </x:c>
      <x:c r="K26" s="19" t="str">
        <x:v>Z09E har NAD+UD; Z09F/G använder respektive217 Z04/Z03 och giltighetsdatum157; inte automatiskt kundbyte.</x:v>
      </x:c>
      <x:c r="L26" s="19" t="str">
        <x:v>Tillämplig</x:v>
      </x:c>
      <x:c r="M26" s="19" t="str">
        <x:v>prodat_fields + prodat_conditional_cells + parent_group + register_overlay</x:v>
      </x:c>
      <x:c r="N26" s="19" t="str">
        <x:v>P §2.1–2.2,2.6; HB kap.4,10,11</x:v>
      </x:c>
      <x:c r="O26" s="19" t="str">
        <x:v>AT-Z09E-SUPPLIER</x:v>
      </x:c>
    </x:row>
    <x:row r="27" ht="50.400001525878906" customHeight="1">
      <x:c r="A27" s="19" t="str">
        <x:v>CASE-Z06F-SUPPLIER</x:v>
      </x:c>
      <x:c r="B27" s="19" t="str">
        <x:v>Z06</x:v>
      </x:c>
      <x:c r="C27" s="19" t="str">
        <x:v>F</x:v>
      </x:c>
      <x:c r="D27" s="19" t="str">
        <x:v>E64</x:v>
      </x:c>
      <x:c r="E27" s="19" t="str">
        <x:v>SUPPLIER</x:v>
      </x:c>
      <x:c r="F27" s="19" t="str">
        <x:v>inbound</x:v>
      </x:c>
      <x:c r="G27" s="19" t="str">
        <x:v>23-DDQ-PRODAT</x:v>
      </x:c>
      <x:c r="H27" s="19" t="str">
        <x:v>Nätägarens kund-/anläggningsuppdatering.</x:v>
      </x:c>
      <x:c r="I27" s="19" t="str">
        <x:v>CONTRL och APERAK enligt guide; ytterligare UTILTS för F enligt ändring och Handbok.</x:v>
      </x:c>
      <x:c r="J27" s="19" t="str">
        <x:v>Versionera struktur och avläsningsutlösande ändring; kontrollera berörda mätvärdesförväntningar.</x:v>
      </x:c>
      <x:c r="K27" s="19" t="str">
        <x:v>Z06E utanför fastställd standardlivshändelse kräver bilateral grund. Z06F/G får inte skriva kundidentitet från förbjuden NAD+UD.</x:v>
      </x:c>
      <x:c r="L27" s="19" t="str">
        <x:v>Tillämplig</x:v>
      </x:c>
      <x:c r="M27" s="19" t="str">
        <x:v>prodat_fields + prodat_conditional_cells + parent_group + register_overlay</x:v>
      </x:c>
      <x:c r="N27" s="19" t="str">
        <x:v>P §2.1–2.2,2.6; HB kap.4,10,11</x:v>
      </x:c>
      <x:c r="O27" s="19" t="str">
        <x:v>AT-Z06F-SUPPLIER</x:v>
      </x:c>
    </x:row>
    <x:row r="28" ht="50.400001525878906" customHeight="1">
      <x:c r="A28" s="19" t="str">
        <x:v>CASE-Z09F-SUPPLIER</x:v>
      </x:c>
      <x:c r="B28" s="19" t="str">
        <x:v>Z09</x:v>
      </x:c>
      <x:c r="C28" s="19" t="str">
        <x:v>F</x:v>
      </x:c>
      <x:c r="D28" s="19" t="str">
        <x:v>E64</x:v>
      </x:c>
      <x:c r="E28" s="19" t="str">
        <x:v>SUPPLIER</x:v>
      </x:c>
      <x:c r="F28" s="19" t="str">
        <x:v>outbound</x:v>
      </x:c>
      <x:c r="G28" s="19" t="str">
        <x:v>23-DDQ-PRODAT</x:v>
      </x:c>
      <x:c r="H28" s="19" t="str">
        <x:v>Begär kvartsmätning enligt kundavtal.</x:v>
      </x:c>
      <x:c r="I28" s="19" t="str">
        <x:v>CONTRL, APERAK och enligt processen senare Z06; inget påhittat direkt affärssvar.</x:v>
      </x:c>
      <x:c r="J28" s="19" t="str">
        <x:v>Registrera önskad förändring; mottagen bekräftad struktur har egen versionshantering.</x:v>
      </x:c>
      <x:c r="K28" s="19" t="str">
        <x:v>Z09E har NAD+UD; Z09F/G använder respektive217 Z04/Z03 och giltighetsdatum157; inte automatiskt kundbyte.</x:v>
      </x:c>
      <x:c r="L28" s="19" t="str">
        <x:v>Tillämplig</x:v>
      </x:c>
      <x:c r="M28" s="19" t="str">
        <x:v>prodat_fields + prodat_conditional_cells + parent_group + register_overlay</x:v>
      </x:c>
      <x:c r="N28" s="19" t="str">
        <x:v>P §2.1–2.2,2.6; HB kap.4,10,11</x:v>
      </x:c>
      <x:c r="O28" s="19" t="str">
        <x:v>AT-Z09F-SUPPLIER</x:v>
      </x:c>
    </x:row>
    <x:row r="29" ht="50.400001525878906" customHeight="1">
      <x:c r="A29" s="19" t="str">
        <x:v>CASE-Z06G-SUPPLIER</x:v>
      </x:c>
      <x:c r="B29" s="19" t="str">
        <x:v>Z06</x:v>
      </x:c>
      <x:c r="C29" s="19" t="str">
        <x:v>G</x:v>
      </x:c>
      <x:c r="D29" s="19" t="str">
        <x:v>E32</x:v>
      </x:c>
      <x:c r="E29" s="19" t="str">
        <x:v>SUPPLIER</x:v>
      </x:c>
      <x:c r="F29" s="19" t="str">
        <x:v>inbound</x:v>
      </x:c>
      <x:c r="G29" s="19" t="str">
        <x:v>23-DDQ-PRODAT</x:v>
      </x:c>
      <x:c r="H29" s="19" t="str">
        <x:v>Nätägarens kund-/anläggningsuppdatering.</x:v>
      </x:c>
      <x:c r="I29" s="19" t="str">
        <x:v>CONTRL och APERAK enligt guide; ytterligare UTILTS för F enligt ändring och Handbok.</x:v>
      </x:c>
      <x:c r="J29" s="19" t="str">
        <x:v>Versionera ändrad struktur utan att påhittad avläsning krävs.</x:v>
      </x:c>
      <x:c r="K29" s="19" t="str">
        <x:v>Z06E utanför fastställd standardlivshändelse kräver bilateral grund. Z06F/G får inte skriva kundidentitet från förbjuden NAD+UD.</x:v>
      </x:c>
      <x:c r="L29" s="19" t="str">
        <x:v>Tillämplig</x:v>
      </x:c>
      <x:c r="M29" s="19" t="str">
        <x:v>prodat_fields + prodat_conditional_cells + parent_group + register_overlay</x:v>
      </x:c>
      <x:c r="N29" s="19" t="str">
        <x:v>P §2.1–2.2,2.6; HB kap.4,10,11</x:v>
      </x:c>
      <x:c r="O29" s="19" t="str">
        <x:v>AT-Z06G-SUPPLIER</x:v>
      </x:c>
    </x:row>
    <x:row r="30" ht="50.400001525878906" customHeight="1">
      <x:c r="A30" s="19" t="str">
        <x:v>CASE-Z09G-SUPPLIER</x:v>
      </x:c>
      <x:c r="B30" s="19" t="str">
        <x:v>Z09</x:v>
      </x:c>
      <x:c r="C30" s="19" t="str">
        <x:v>G</x:v>
      </x:c>
      <x:c r="D30" s="19" t="str">
        <x:v>E32</x:v>
      </x:c>
      <x:c r="E30" s="19" t="str">
        <x:v>SUPPLIER</x:v>
      </x:c>
      <x:c r="F30" s="19" t="str">
        <x:v>outbound</x:v>
      </x:c>
      <x:c r="G30" s="19" t="str">
        <x:v>23-DDQ-PRODAT</x:v>
      </x:c>
      <x:c r="H30" s="19" t="str">
        <x:v>Informera att nätägaren ska avgöra mätmetoden enligt ändrat avtal.</x:v>
      </x:c>
      <x:c r="I30" s="19" t="str">
        <x:v>CONTRL, APERAK och enligt processen senare Z06; inget påhittat direkt affärssvar.</x:v>
      </x:c>
      <x:c r="J30" s="19" t="str">
        <x:v>Registrera önskad förändring; mottagen bekräftad struktur har egen versionshantering.</x:v>
      </x:c>
      <x:c r="K30" s="19" t="str">
        <x:v>Z09E har NAD+UD; Z09F/G använder respektive217 Z04/Z03 och giltighetsdatum157; inte automatiskt kundbyte.</x:v>
      </x:c>
      <x:c r="L30" s="19" t="str">
        <x:v>Tillämplig</x:v>
      </x:c>
      <x:c r="M30" s="19" t="str">
        <x:v>prodat_fields + prodat_conditional_cells + parent_group + register_overlay</x:v>
      </x:c>
      <x:c r="N30" s="19" t="str">
        <x:v>P §2.1–2.2,2.6; HB kap.4,10,11</x:v>
      </x:c>
      <x:c r="O30" s="19" t="str">
        <x:v>AT-Z09G-SUPPLIER</x:v>
      </x:c>
    </x:row>
    <x:row r="31" ht="50.400001525878906" customHeight="1">
      <x:c r="A31" s="19" t="str">
        <x:v>CASE-Z09B-SUPPLIER</x:v>
      </x:c>
      <x:c r="B31" s="19" t="str">
        <x:v>Z09</x:v>
      </x:c>
      <x:c r="C31" s="19" t="str">
        <x:v>B</x:v>
      </x:c>
      <x:c r="D31" s="19" t="str">
        <x:v>Z27</x:v>
      </x:c>
      <x:c r="E31" s="19" t="str">
        <x:v>SUPPLIER</x:v>
      </x:c>
      <x:c r="F31" s="19" t="str">
        <x:v>outbound</x:v>
      </x:c>
      <x:c r="G31" s="19" t="str">
        <x:v>23-DDQ-PRODAT</x:v>
      </x:c>
      <x:c r="H31" s="19" t="str">
        <x:v>Byte av balansansvarig för berörda leveransrelationer.</x:v>
      </x:c>
      <x:c r="I31" s="19" t="str">
        <x:v>CONTRL och APERAK; uppdatering enligt BRP-förloppet.</x:v>
      </x:c>
      <x:c r="J31" s="19" t="str">
        <x:v>Versionera BRP-ansvar vid datumet, inte tenantglobal överlagring av historiken.</x:v>
      </x:c>
      <x:c r="K31" s="19" t="str">
        <x:v>Senast en kalendermånad före; rätt aktör/område/avtal; AI-lista ersätter inte Z09B.</x:v>
      </x:c>
      <x:c r="L31" s="19" t="str">
        <x:v>Tillämplig</x:v>
      </x:c>
      <x:c r="M31" s="19" t="str">
        <x:v>prodat_fields + prodat_conditional_cells + parent_group + register_overlay</x:v>
      </x:c>
      <x:c r="N31" s="19" t="str">
        <x:v>P §2.1–2.2,2.6; HB kap.4,10,11</x:v>
      </x:c>
      <x:c r="O31" s="19" t="str">
        <x:v>AT-Z09B-SUPPLIER</x:v>
      </x:c>
    </x:row>
    <x:row r="32" ht="50.400001525878906" customHeight="1">
      <x:c r="A32" s="19" t="str">
        <x:v>CASE-Z09D-SUPPLIER</x:v>
      </x:c>
      <x:c r="B32" s="19" t="str">
        <x:v>Z09</x:v>
      </x:c>
      <x:c r="C32" s="19" t="str">
        <x:v>D</x:v>
      </x:c>
      <x:c r="D32" s="19" t="str">
        <x:v>Z70</x:v>
      </x:c>
      <x:c r="E32" s="19" t="str">
        <x:v>SUPPLIER</x:v>
      </x:c>
      <x:c r="F32" s="19" t="str">
        <x:v>outbound</x:v>
      </x:c>
      <x:c r="G32" s="19" t="str">
        <x:v>23-DDQ-PRODAT</x:v>
      </x:c>
      <x:c r="H32" s="19" t="str">
        <x:v>Produktionsavtal tecknas eller upphör.</x:v>
      </x:c>
      <x:c r="I32" s="19" t="str">
        <x:v>CONTRL och APERAK; eventuella efterföljande mottagningspliktsförlopp separat.</x:v>
      </x:c>
      <x:c r="J32" s="19" t="str">
        <x:v>Starta/avsluta rätt produktionsavtal.</x:v>
      </x:c>
      <x:c r="K32" s="19" t="str">
        <x:v>210 XOR 211, aldrig DTM157 som ersättning; inte NAD+UD på Z09D.</x:v>
      </x:c>
      <x:c r="L32" s="19" t="str">
        <x:v>Tillämplig</x:v>
      </x:c>
      <x:c r="M32" s="19" t="str">
        <x:v>prodat_fields + prodat_conditional_cells + parent_group + register_overlay</x:v>
      </x:c>
      <x:c r="N32" s="19" t="str">
        <x:v>P §2.1–2.2,2.6; HB kap.4,10,11</x:v>
      </x:c>
      <x:c r="O32" s="19" t="str">
        <x:v>AT-Z09D-SUPPLIER</x:v>
      </x:c>
    </x:row>
    <x:row r="33" ht="50.400001525878906" customHeight="1">
      <x:c r="A33" s="19" t="str">
        <x:v>CASE-Z10M-SUPPLIER</x:v>
      </x:c>
      <x:c r="B33" s="19" t="str">
        <x:v>Z10</x:v>
      </x:c>
      <x:c r="C33" s="19" t="str">
        <x:v>M</x:v>
      </x:c>
      <x:c r="D33" s="19" t="str">
        <x:v>E58</x:v>
      </x:c>
      <x:c r="E33" s="19" t="str">
        <x:v>SUPPLIER</x:v>
      </x:c>
      <x:c r="F33" s="19" t="str">
        <x:v>inbound</x:v>
      </x:c>
      <x:c r="G33" s="19" t="str">
        <x:v>23-DDQ-PRODAT</x:v>
      </x:c>
      <x:c r="H33" s="19" t="str">
        <x:v>Nätägarens mätarbyte.</x:v>
      </x:c>
      <x:c r="I33" s="19" t="str">
        <x:v>CONTRL och APERAK; avläsningar/energier via relevanta UTILTS-transaktioner.</x:v>
      </x:c>
      <x:c r="J33" s="19" t="str">
        <x:v>Versionera ny/gammal mätare/register och gränstid, bevara tidigare mätvärden.</x:v>
      </x:c>
      <x:c r="K33" s="19" t="str">
        <x:v>Gamla/nya mätarnummer olika; flerregisteroverlay; tio vardagar som sändningsfrist för nätägaren.</x:v>
      </x:c>
      <x:c r="L33" s="19" t="str">
        <x:v>Tillämplig</x:v>
      </x:c>
      <x:c r="M33" s="19" t="str">
        <x:v>prodat_fields + prodat_conditional_cells + parent_group + register_overlay</x:v>
      </x:c>
      <x:c r="N33" s="19" t="str">
        <x:v>P §2.1–2.2,2.6; HB kap.4,10,11</x:v>
      </x:c>
      <x:c r="O33" s="19" t="str">
        <x:v>AT-Z10M-SUPPLIER</x:v>
      </x:c>
    </x:row>
    <x:row r="34" ht="50.400001525878906" customHeight="1">
      <x:c r="A34" s="19" t="str">
        <x:v>CASE-Z13V-ESCO</x:v>
      </x:c>
      <x:c r="B34" s="19" t="str">
        <x:v>Z13</x:v>
      </x:c>
      <x:c r="C34" s="19" t="str">
        <x:v>V</x:v>
      </x:c>
      <x:c r="D34" s="19" t="str">
        <x:v>S17</x:v>
      </x:c>
      <x:c r="E34" s="19" t="str">
        <x:v>ESCO</x:v>
      </x:c>
      <x:c r="F34" s="19" t="str">
        <x:v>outbound</x:v>
      </x:c>
      <x:c r="G34" s="19" t="str">
        <x:v>23-DGI-PRODAT</x:v>
      </x:c>
      <x:c r="H34" s="19" t="str">
        <x:v>Avtal med slutkund och DSO finns; begär fortlöpande rapportering.</x:v>
      </x:c>
      <x:c r="I34" s="19" t="str">
        <x:v>CONTRL, APERAK för begäran; därefter Z14 eller Z14N.</x:v>
      </x:c>
      <x:c r="J34" s="19" t="str">
        <x:v>Skapa begäran och objektrelaterade rättigheter först efter positivt Z14; inte elleverans.</x:v>
      </x:c>
      <x:c r="K34" s="19" t="str">
        <x:v>Kundidentitet ej födelsedatum; Z13 behöver inte anläggnings-id men LIN+1 finns; scope/roll/avtal/beneficiary separat.</x:v>
      </x:c>
      <x:c r="L34" s="19" t="str">
        <x:v>Tillämplig</x:v>
      </x:c>
      <x:c r="M34" s="19" t="str">
        <x:v>prodat_fields + prodat_conditional_cells + parent_group + register_overlay</x:v>
      </x:c>
      <x:c r="N34" s="19" t="str">
        <x:v>P §2.1–2.2,2.6; HB kap.4,10,11</x:v>
      </x:c>
      <x:c r="O34" s="19" t="str">
        <x:v>AT-Z13V-ESCO</x:v>
      </x:c>
    </x:row>
    <x:row r="35" ht="50.400001525878906" customHeight="1">
      <x:c r="A35" s="19" t="str">
        <x:v>CASE-Z14V-ESCO</x:v>
      </x:c>
      <x:c r="B35" s="19" t="str">
        <x:v>Z14</x:v>
      </x:c>
      <x:c r="C35" s="19" t="str">
        <x:v>V</x:v>
      </x:c>
      <x:c r="D35" s="19" t="str">
        <x:v>S17</x:v>
      </x:c>
      <x:c r="E35" s="19" t="str">
        <x:v>ESCO</x:v>
      </x:c>
      <x:c r="F35" s="19" t="str">
        <x:v>inbound</x:v>
      </x:c>
      <x:c r="G35" s="19" t="str">
        <x:v>23-DGI-PRODAT</x:v>
      </x:c>
      <x:c r="H35" s="19" t="str">
        <x:v>DSO godkänner tillgång för angivna godkända anläggningar.</x:v>
      </x:c>
      <x:c r="I35" s="19" t="str">
        <x:v>CONTRL och APERAK; E66 enligt bekräftade villkor och vid historik slut viaZ15VH.</x:v>
      </x:c>
      <x:c r="J35" s="19" t="str">
        <x:v>Skapa/versionera market_permission och objektscope; projektionsåtkomst bara till uttryckligen berättigade tenants.</x:v>
      </x:c>
      <x:c r="K35" s="19" t="str">
        <x:v>A74; tillstånds-id; rättLI; ej bredda kund-/tids-/produktomfattning från antaganden. Förvänta inte Z04.</x:v>
      </x:c>
      <x:c r="L35" s="19" t="str">
        <x:v>Tillämplig</x:v>
      </x:c>
      <x:c r="M35" s="19" t="str">
        <x:v>prodat_fields + prodat_conditional_cells + parent_group + register_overlay</x:v>
      </x:c>
      <x:c r="N35" s="19" t="str">
        <x:v>P §2.1–2.2,2.6; HB kap.4,10,11</x:v>
      </x:c>
      <x:c r="O35" s="19" t="str">
        <x:v>AT-Z14V-ESCO</x:v>
      </x:c>
    </x:row>
    <x:row r="36" ht="50.400001525878906" customHeight="1">
      <x:c r="A36" s="19" t="str">
        <x:v>CASE-Z15V-ESCO</x:v>
      </x:c>
      <x:c r="B36" s="19" t="str">
        <x:v>Z15</x:v>
      </x:c>
      <x:c r="C36" s="19" t="str">
        <x:v>V</x:v>
      </x:c>
      <x:c r="D36" s="19" t="str">
        <x:v>S17</x:v>
      </x:c>
      <x:c r="E36" s="19" t="str">
        <x:v>ESCO</x:v>
      </x:c>
      <x:c r="F36" s="19" t="str">
        <x:v>inbound</x:v>
      </x:c>
      <x:c r="G36" s="19" t="str">
        <x:v>23-DGI-PRODAT</x:v>
      </x:c>
      <x:c r="H36" s="19" t="str">
        <x:v>Fortlöpande tillstånd upphör.</x:v>
      </x:c>
      <x:c r="I36" s="19" t="str">
        <x:v>CONTRL och APERAK; inget nytt automatiskt Z13.</x:v>
      </x:c>
      <x:c r="J36" s="19" t="str">
        <x:v>Avsluta rätt rapporterings-/tillståndsförlopp; VH slutför historikjobbet, inte separat V-tillstånd.</x:v>
      </x:c>
      <x:c r="K36" s="19" t="str">
        <x:v>Datum164, idZ09, status/orsak; får inte avsluta annan tenant eller DDQ-leverans.</x:v>
      </x:c>
      <x:c r="L36" s="19" t="str">
        <x:v>Tillämplig</x:v>
      </x:c>
      <x:c r="M36" s="19" t="str">
        <x:v>prodat_fields + prodat_conditional_cells + parent_group + register_overlay</x:v>
      </x:c>
      <x:c r="N36" s="19" t="str">
        <x:v>P §2.1–2.2,2.6; HB kap.4,10,11</x:v>
      </x:c>
      <x:c r="O36" s="19" t="str">
        <x:v>AT-Z15V-ESCO</x:v>
      </x:c>
    </x:row>
    <x:row r="37" ht="50.400001525878906" customHeight="1">
      <x:c r="A37" s="19" t="str">
        <x:v>CASE-Z13VH-ESCO</x:v>
      </x:c>
      <x:c r="B37" s="19" t="str">
        <x:v>Z13</x:v>
      </x:c>
      <x:c r="C37" s="19" t="str">
        <x:v>VH</x:v>
      </x:c>
      <x:c r="D37" s="19" t="str">
        <x:v>S18</x:v>
      </x:c>
      <x:c r="E37" s="19" t="str">
        <x:v>ESCO</x:v>
      </x:c>
      <x:c r="F37" s="19" t="str">
        <x:v>outbound</x:v>
      </x:c>
      <x:c r="G37" s="19" t="str">
        <x:v>23-DGI-PRODAT</x:v>
      </x:c>
      <x:c r="H37" s="19" t="str">
        <x:v>Avtal med slutkund och DSO finns; begär avgränsad historik.</x:v>
      </x:c>
      <x:c r="I37" s="19" t="str">
        <x:v>CONTRL, APERAK för begäran; därefter Z14 eller Z14N.</x:v>
      </x:c>
      <x:c r="J37" s="19" t="str">
        <x:v>Skapa begäran och objektrelaterade rättigheter först efter positivt Z14; inte elleverans.</x:v>
      </x:c>
      <x:c r="K37" s="19" t="str">
        <x:v>Kundidentitet ej födelsedatum; Z13 behöver inte anläggnings-id men LIN+1 finns; scope/roll/avtal/beneficiary separat.</x:v>
      </x:c>
      <x:c r="L37" s="19" t="str">
        <x:v>Tillämplig</x:v>
      </x:c>
      <x:c r="M37" s="19" t="str">
        <x:v>prodat_fields + prodat_conditional_cells + parent_group + register_overlay</x:v>
      </x:c>
      <x:c r="N37" s="19" t="str">
        <x:v>P §2.1–2.2,2.6; HB kap.4,10,11</x:v>
      </x:c>
      <x:c r="O37" s="19" t="str">
        <x:v>AT-Z13VH-ESCO</x:v>
      </x:c>
    </x:row>
    <x:row r="38" ht="50.400001525878906" customHeight="1">
      <x:c r="A38" s="19" t="str">
        <x:v>CASE-Z14VH-ESCO</x:v>
      </x:c>
      <x:c r="B38" s="19" t="str">
        <x:v>Z14</x:v>
      </x:c>
      <x:c r="C38" s="19" t="str">
        <x:v>VH</x:v>
      </x:c>
      <x:c r="D38" s="19" t="str">
        <x:v>S18</x:v>
      </x:c>
      <x:c r="E38" s="19" t="str">
        <x:v>ESCO</x:v>
      </x:c>
      <x:c r="F38" s="19" t="str">
        <x:v>inbound</x:v>
      </x:c>
      <x:c r="G38" s="19" t="str">
        <x:v>23-DGI-PRODAT</x:v>
      </x:c>
      <x:c r="H38" s="19" t="str">
        <x:v>DSO godkänner tillgång för angivna godkända anläggningar.</x:v>
      </x:c>
      <x:c r="I38" s="19" t="str">
        <x:v>CONTRL och APERAK; E66 enligt bekräftade villkor och vid historik slut viaZ15VH.</x:v>
      </x:c>
      <x:c r="J38" s="19" t="str">
        <x:v>Skapa/versionera market_permission och objektscope; projektionsåtkomst bara till uttryckligen berättigade tenants.</x:v>
      </x:c>
      <x:c r="K38" s="19" t="str">
        <x:v>A74; tillstånds-id; rättLI; ej bredda kund-/tids-/produktomfattning från antaganden. Förvänta inte Z04.</x:v>
      </x:c>
      <x:c r="L38" s="19" t="str">
        <x:v>Tillämplig</x:v>
      </x:c>
      <x:c r="M38" s="19" t="str">
        <x:v>prodat_fields + prodat_conditional_cells + parent_group + register_overlay</x:v>
      </x:c>
      <x:c r="N38" s="19" t="str">
        <x:v>P §2.1–2.2,2.6; HB kap.4,10,11</x:v>
      </x:c>
      <x:c r="O38" s="19" t="str">
        <x:v>AT-Z14VH-ESCO</x:v>
      </x:c>
    </x:row>
    <x:row r="39" ht="50.400001525878906" customHeight="1">
      <x:c r="A39" s="19" t="str">
        <x:v>CASE-Z15VH-ESCO</x:v>
      </x:c>
      <x:c r="B39" s="19" t="str">
        <x:v>Z15</x:v>
      </x:c>
      <x:c r="C39" s="19" t="str">
        <x:v>VH</x:v>
      </x:c>
      <x:c r="D39" s="19" t="str">
        <x:v>S18</x:v>
      </x:c>
      <x:c r="E39" s="19" t="str">
        <x:v>ESCO</x:v>
      </x:c>
      <x:c r="F39" s="19" t="str">
        <x:v>inbound</x:v>
      </x:c>
      <x:c r="G39" s="19" t="str">
        <x:v>23-DGI-PRODAT</x:v>
      </x:c>
      <x:c r="H39" s="19" t="str">
        <x:v>Historikleveransen har avslutats.</x:v>
      </x:c>
      <x:c r="I39" s="19" t="str">
        <x:v>CONTRL och APERAK; inget nytt automatiskt Z13.</x:v>
      </x:c>
      <x:c r="J39" s="19" t="str">
        <x:v>Avsluta rätt rapporterings-/tillståndsförlopp; VH slutför historikjobbet, inte separat V-tillstånd.</x:v>
      </x:c>
      <x:c r="K39" s="19" t="str">
        <x:v>Datum164, idZ09, status/orsak; får inte avsluta annan tenant eller DDQ-leverans.</x:v>
      </x:c>
      <x:c r="L39" s="19" t="str">
        <x:v>Tillämplig</x:v>
      </x:c>
      <x:c r="M39" s="19" t="str">
        <x:v>prodat_fields + prodat_conditional_cells + parent_group + register_overlay</x:v>
      </x:c>
      <x:c r="N39" s="19" t="str">
        <x:v>P §2.1–2.2,2.6; HB kap.4,10,11</x:v>
      </x:c>
      <x:c r="O39" s="19" t="str">
        <x:v>AT-Z15VH-ESCO</x:v>
      </x:c>
    </x:row>
    <x:row r="40" ht="64.19999694824219" customHeight="1">
      <x:c r="A40" s="19" t="str">
        <x:v>CASE-Z14N-ESCO</x:v>
      </x:c>
      <x:c r="B40" s="19" t="str">
        <x:v>Z14</x:v>
      </x:c>
      <x:c r="C40" s="19" t="str">
        <x:v>N</x:v>
      </x:c>
      <x:c r="D40" s="19" t="str">
        <x:v>Z96</x:v>
      </x:c>
      <x:c r="E40" s="19" t="str">
        <x:v>ESCO</x:v>
      </x:c>
      <x:c r="F40" s="19" t="str">
        <x:v>inbound</x:v>
      </x:c>
      <x:c r="G40" s="19" t="str">
        <x:v>23-DGI-PRODAT</x:v>
      </x:c>
      <x:c r="H40" s="19" t="str">
        <x:v>Aktivt eller passivt nekat tillstånd.</x:v>
      </x:c>
      <x:c r="I40" s="19" t="str">
        <x:v>CONTRL och APERAK på själva Z14N om korrekt; ingen datarapportering.</x:v>
      </x:c>
      <x:c r="J40" s="19" t="str">
        <x:v>Neka berörd begäran; lägg ingen market_permission för åtkomst.</x:v>
      </x:c>
      <x:c r="K40" s="19" t="str">
        <x:v>A13 aktivt nekat; A76 passivt nekat; många positiva-Z14-fält ska utelämnas. Förväxla inte negativt affärssvar med syntaktiskt fel.</x:v>
      </x:c>
      <x:c r="L40" s="19" t="str">
        <x:v>Tillämplig</x:v>
      </x:c>
      <x:c r="M40" s="19" t="str">
        <x:v>prodat_fields + prodat_conditional_cells + parent_group + register_overlay</x:v>
      </x:c>
      <x:c r="N40" s="19" t="str">
        <x:v>P §2.1–2.2,2.6; HB kap.4,10,11</x:v>
      </x:c>
      <x:c r="O40" s="19" t="str">
        <x:v>AT-Z14N-ESCO</x:v>
      </x:c>
    </x:row>
    <x:row r="41" ht="50.400001525878906" customHeight="1">
      <x:c r="A41" s="19" t="str">
        <x:v>CASE-Z15C-ESCO</x:v>
      </x:c>
      <x:c r="B41" s="19" t="str">
        <x:v>Z15</x:v>
      </x:c>
      <x:c r="C41" s="19" t="str">
        <x:v>C</x:v>
      </x:c>
      <x:c r="D41" s="19" t="str">
        <x:v>Z24</x:v>
      </x:c>
      <x:c r="E41" s="19" t="str">
        <x:v>ESCO</x:v>
      </x:c>
      <x:c r="F41" s="19" t="str">
        <x:v>inbound</x:v>
      </x:c>
      <x:c r="G41" s="19" t="str">
        <x:v>23-DGI-PRODAT</x:v>
      </x:c>
      <x:c r="H41" s="19" t="str">
        <x:v>Återtag av felaktigt tillståndsupphörande, t.ex. rättad utflytt.</x:v>
      </x:c>
      <x:c r="I41" s="19" t="str">
        <x:v>CONTRL och APERAK.</x:v>
      </x:c>
      <x:c r="J41" s="19" t="str">
        <x:v>Återställ berört market_permission efter rätt korrelation. Återuppliva inte ett separat återkallat tenantåtkomstgrant.</x:v>
      </x:c>
      <x:c r="K41" s="19" t="str">
        <x:v>Status och datum enligt fältspecifikation; kräver inte generell egen Z18.</x:v>
      </x:c>
      <x:c r="L41" s="19" t="str">
        <x:v>Tillämplig</x:v>
      </x:c>
      <x:c r="M41" s="19" t="str">
        <x:v>prodat_fields + prodat_conditional_cells + parent_group + register_overlay</x:v>
      </x:c>
      <x:c r="N41" s="19" t="str">
        <x:v>P §2.1–2.2,2.6; HB kap.4,10,11</x:v>
      </x:c>
      <x:c r="O41" s="19" t="str">
        <x:v>AT-Z15C-ESCO</x:v>
      </x:c>
    </x:row>
    <x:row r="42" ht="50.400001525878906" customHeight="1">
      <x:c r="A42" s="19" t="str">
        <x:v>CASE-Z18V-ESCO</x:v>
      </x:c>
      <x:c r="B42" s="19" t="str">
        <x:v>Z18</x:v>
      </x:c>
      <x:c r="C42" s="19" t="str">
        <x:v>V</x:v>
      </x:c>
      <x:c r="D42" s="19" t="str">
        <x:v>S17</x:v>
      </x:c>
      <x:c r="E42" s="19" t="str">
        <x:v>ESCO</x:v>
      </x:c>
      <x:c r="F42" s="19" t="str">
        <x:v>outbound</x:v>
      </x:c>
      <x:c r="G42" s="19" t="str">
        <x:v>23-DGI-PRODAT</x:v>
      </x:c>
      <x:c r="H42" s="19" t="str">
        <x:v>Behörig begäran att avsluta rapportering.</x:v>
      </x:c>
      <x:c r="I42" s="19" t="str">
        <x:v>CONTRL, APERAK, tillämplig Z15.</x:v>
      </x:c>
      <x:c r="J42" s="19" t="str">
        <x:v>Begär avslut av rätt marknadstillstånd; kontrollera andra giltiga serviceuppdrag innan gemensamt tillstånd sägs upp.</x:v>
      </x:c>
      <x:c r="K42" s="19" t="str">
        <x:v>327/324/325 krävs; beneficiarys UI-avslut av ett deluppdrag ≠ avslut för samtliga tenants.</x:v>
      </x:c>
      <x:c r="L42" s="19" t="str">
        <x:v>Tillämplig</x:v>
      </x:c>
      <x:c r="M42" s="19" t="str">
        <x:v>prodat_fields + prodat_conditional_cells + parent_group + register_overlay</x:v>
      </x:c>
      <x:c r="N42" s="19" t="str">
        <x:v>P §2.1–2.2,2.6; HB kap.4,10,11</x:v>
      </x:c>
      <x:c r="O42" s="19" t="str">
        <x:v>AT-Z18V-ESCO</x:v>
      </x:c>
    </x:row>
  </x:sheetData>
  <x:mergeCells>
    <x:mergeCell ref="A1:O1"/>
    <x:mergeCell ref="A2:O2"/>
  </x:mergeCells>
  <x:pageMargins left="0.7" right="0.7" top="0.75" bottom="0.75" header="0.3" footer="0.3"/>
  <x:tableParts count="1">
    <x:tablePart xmlns:r="http://schemas.openxmlformats.org/officeDocument/2006/relationships" r:id="R81ae7f7656fd4ed4"/>
  </x:tableParts>
</x:worksheet>
</file>

<file path=xl/worksheets/sheet4.xml><?xml version="1.0" encoding="utf-8"?>
<x:worksheet xmlns:x="http://schemas.openxmlformats.org/spreadsheetml/2006/main">
  <x:sheetFormatPr defaultRowHeight="15"/>
  <x:cols>
    <x:col min="1" max="1" width="12" hidden="0" customWidth="1"/>
    <x:col min="2" max="2" width="30" hidden="0" customWidth="1"/>
    <x:col min="3" max="3" width="43" hidden="0" customWidth="1"/>
    <x:col min="4" max="4" width="23" hidden="0" customWidth="1"/>
    <x:col min="5" max="5" width="17" hidden="0" customWidth="1"/>
    <x:col min="6" max="6" width="8" hidden="0" customWidth="1"/>
    <x:col min="7" max="7" width="8" hidden="0" customWidth="1"/>
    <x:col min="8" max="8" width="8" hidden="0" customWidth="1"/>
    <x:col min="9" max="9" width="8" hidden="0" customWidth="1"/>
    <x:col min="10" max="10" width="8" hidden="0" customWidth="1"/>
    <x:col min="11" max="11" width="8" hidden="0" customWidth="1"/>
    <x:col min="12" max="12" width="8" hidden="0" customWidth="1"/>
    <x:col min="13" max="13" width="8" hidden="0" customWidth="1"/>
    <x:col min="14" max="14" width="8" hidden="0" customWidth="1"/>
    <x:col min="15" max="15" width="8" hidden="0" customWidth="1"/>
    <x:col min="16" max="16" width="8" hidden="0" customWidth="1"/>
    <x:col min="17" max="17" width="8" hidden="0" customWidth="1"/>
    <x:col min="18" max="18" width="8" hidden="0" customWidth="1"/>
    <x:col min="19" max="19" width="44" hidden="0" customWidth="1"/>
    <x:col min="20" max="20" width="62" hidden="0" customWidth="1"/>
    <x:col min="21" max="21" width="16" hidden="0" customWidth="1"/>
    <x:col min="22" max="22" width="37" hidden="0" customWidth="1"/>
    <x:col min="23" max="23" width="50" hidden="0" customWidth="1"/>
  </x:cols>
  <x:sheetData>
    <x:row r="1" ht="30" customHeight="1">
      <x:c r="A1" s="3" t="str">
        <x:v>PRODAT-fält · Gridex Ediel v2</x:v>
      </x:c>
      <x:c r="B1" s="3"/>
      <x:c r="C1" s="3"/>
      <x:c r="D1" s="3"/>
      <x:c r="E1" s="3"/>
      <x:c r="F1" s="3"/>
      <x:c r="G1" s="3"/>
      <x:c r="H1" s="3"/>
      <x:c r="I1" s="3"/>
      <x:c r="J1" s="3"/>
      <x:c r="K1" s="3"/>
      <x:c r="L1" s="3"/>
      <x:c r="M1" s="3"/>
      <x:c r="N1" s="3"/>
      <x:c r="O1" s="3"/>
      <x:c r="P1" s="3"/>
      <x:c r="Q1" s="3"/>
      <x:c r="R1" s="3"/>
      <x:c r="S1" s="3"/>
      <x:c r="T1" s="3"/>
      <x:c r="U1" s="3"/>
      <x:c r="V1" s="3"/>
      <x:c r="W1" s="3"/>
    </x:row>
    <x:row r="2" ht="34" customHeight="1">
      <x:c r="A2" s="8" t="str">
        <x:v>74 numeriska fält. Läs föräldravillkor före R/D; matrisen avser första registret. Bilaga 2 styr fler register.</x:v>
      </x:c>
      <x:c r="B2" s="8"/>
      <x:c r="C2" s="8"/>
      <x:c r="D2" s="8"/>
      <x:c r="E2" s="8"/>
      <x:c r="F2" s="8"/>
      <x:c r="G2" s="8"/>
      <x:c r="H2" s="8"/>
      <x:c r="I2" s="8"/>
      <x:c r="J2" s="8"/>
      <x:c r="K2" s="8"/>
      <x:c r="L2" s="8"/>
      <x:c r="M2" s="8"/>
      <x:c r="N2" s="8"/>
      <x:c r="O2" s="8"/>
      <x:c r="P2" s="8"/>
      <x:c r="Q2" s="8"/>
      <x:c r="R2" s="8"/>
      <x:c r="S2" s="8"/>
      <x:c r="T2" s="8"/>
      <x:c r="U2" s="8"/>
      <x:c r="V2" s="8"/>
      <x:c r="W2" s="8"/>
    </x:row>
    <x:row r="4" ht="37" customHeight="1">
      <x:c r="A4" s="14" t="str">
        <x:v>Fältnr</x:v>
      </x:c>
      <x:c r="B4" s="14" t="str">
        <x:v>Namn</x:v>
      </x:c>
      <x:c r="C4" s="14" t="str">
        <x:v>Wire-locator</x:v>
      </x:c>
      <x:c r="D4" s="14" t="str">
        <x:v>Gruppnivå</x:v>
      </x:c>
      <x:c r="E4" s="14" t="str">
        <x:v>Förälder</x:v>
      </x:c>
      <x:c r="F4" s="14" t="str">
        <x:v>Z01</x:v>
      </x:c>
      <x:c r="G4" s="14" t="str">
        <x:v>Z02</x:v>
      </x:c>
      <x:c r="H4" s="14" t="str">
        <x:v>Z03</x:v>
      </x:c>
      <x:c r="I4" s="14" t="str">
        <x:v>Z04</x:v>
      </x:c>
      <x:c r="J4" s="14" t="str">
        <x:v>Z05</x:v>
      </x:c>
      <x:c r="K4" s="14" t="str">
        <x:v>Z06</x:v>
      </x:c>
      <x:c r="L4" s="14" t="str">
        <x:v>Z08</x:v>
      </x:c>
      <x:c r="M4" s="14" t="str">
        <x:v>Z09</x:v>
      </x:c>
      <x:c r="N4" s="14" t="str">
        <x:v>Z10</x:v>
      </x:c>
      <x:c r="O4" s="14" t="str">
        <x:v>Z13</x:v>
      </x:c>
      <x:c r="P4" s="14" t="str">
        <x:v>Z14</x:v>
      </x:c>
      <x:c r="Q4" s="14" t="str">
        <x:v>Z15</x:v>
      </x:c>
      <x:c r="R4" s="14" t="str">
        <x:v>Z18</x:v>
      </x:c>
      <x:c r="S4" s="14" t="str">
        <x:v>Värdekontrakt</x:v>
      </x:c>
      <x:c r="T4" s="14" t="str">
        <x:v>Villkor / notering</x:v>
      </x:c>
      <x:c r="U4" s="14" t="str">
        <x:v>Källsida</x:v>
      </x:c>
      <x:c r="V4" s="14" t="str">
        <x:v>Segmentkälla</x:v>
      </x:c>
      <x:c r="W4" s="14" t="str">
        <x:v>Syntaxdefinition</x:v>
      </x:c>
    </x:row>
    <x:row r="5" ht="64.19999694824219" customHeight="1">
      <x:c r="A5" s="19" t="str">
        <x:v>311</x:v>
      </x:c>
      <x:c r="B5" s="19" t="str">
        <x:v>Application Reference</x:v>
      </x:c>
      <x:c r="C5" s="19" t="str">
        <x:v>UNB/0026</x:v>
      </x:c>
      <x:c r="D5" s="19" t="str">
        <x:v>interchange</x:v>
      </x:c>
      <x:c r="E5" s="19" t="str">
        <x:v>—</x:v>
      </x:c>
      <x:c r="F5" s="19" t="str">
        <x:v>R</x:v>
      </x:c>
      <x:c r="G5" s="19" t="str">
        <x:v>R</x:v>
      </x:c>
      <x:c r="H5" s="19" t="str">
        <x:v>R</x:v>
      </x:c>
      <x:c r="I5" s="19" t="str">
        <x:v>R</x:v>
      </x:c>
      <x:c r="J5" s="19" t="str">
        <x:v>R</x:v>
      </x:c>
      <x:c r="K5" s="19" t="str">
        <x:v>R</x:v>
      </x:c>
      <x:c r="L5" s="19" t="str">
        <x:v>R</x:v>
      </x:c>
      <x:c r="M5" s="19" t="str">
        <x:v>R</x:v>
      </x:c>
      <x:c r="N5" s="19" t="str">
        <x:v>R</x:v>
      </x:c>
      <x:c r="O5" s="19" t="str">
        <x:v>R</x:v>
      </x:c>
      <x:c r="P5" s="19" t="str">
        <x:v>R</x:v>
      </x:c>
      <x:c r="Q5" s="19" t="str">
        <x:v>R</x:v>
      </x:c>
      <x:c r="R5" s="19" t="str">
        <x:v>R</x:v>
      </x:c>
      <x:c r="S5" s="19" t="str">
        <x:v>an..14; marknad-roll-familj</x:v>
      </x:c>
      <x:c r="T5" s="19" t="str">
        <x:v>Anges i UNB, ska vara 23-DDQ-PRODAT eller 23-DGI-PRODAT för PRODAT i elmarknaden och 27-DDQ-PRODAT i naturgasmarknaden.</x:v>
      </x:c>
      <x:c r="U5" s="19" t="str">
        <x:v>16</x:v>
      </x:c>
      <x:c r="V5" s="19" t="str">
        <x:v>T §4.2,5.2; P s.16; T §4.2 och §2.2</x:v>
      </x:c>
      <x:c r="W5" s="19" t="str">
        <x:v>Kompletteras av segmenttabellens datatyp/längd i annex/source_tables.json och den fulla UNSM-grammatiken; använd inte nationell R/D/O som syntax-M.</x:v>
      </x:c>
    </x:row>
    <x:row r="6" ht="64.19999694824219" customHeight="1">
      <x:c r="A6" s="19" t="str">
        <x:v>312</x:v>
      </x:c>
      <x:c r="B6" s="19" t="str">
        <x:v>Version</x:v>
      </x:c>
      <x:c r="C6" s="19" t="str">
        <x:v>UNH/S009/0057</x:v>
      </x:c>
      <x:c r="D6" s="19" t="str">
        <x:v>message</x:v>
      </x:c>
      <x:c r="E6" s="19" t="str">
        <x:v>—</x:v>
      </x:c>
      <x:c r="F6" s="19" t="str">
        <x:v>R</x:v>
      </x:c>
      <x:c r="G6" s="19" t="str">
        <x:v>R</x:v>
      </x:c>
      <x:c r="H6" s="19" t="str">
        <x:v>R</x:v>
      </x:c>
      <x:c r="I6" s="19" t="str">
        <x:v>R</x:v>
      </x:c>
      <x:c r="J6" s="19" t="str">
        <x:v>R</x:v>
      </x:c>
      <x:c r="K6" s="19" t="str">
        <x:v>R</x:v>
      </x:c>
      <x:c r="L6" s="19" t="str">
        <x:v>R</x:v>
      </x:c>
      <x:c r="M6" s="19" t="str">
        <x:v>R</x:v>
      </x:c>
      <x:c r="N6" s="19" t="str">
        <x:v>R</x:v>
      </x:c>
      <x:c r="O6" s="19" t="str">
        <x:v>R</x:v>
      </x:c>
      <x:c r="P6" s="19" t="str">
        <x:v>R</x:v>
      </x:c>
      <x:c r="Q6" s="19" t="str">
        <x:v>R</x:v>
      </x:c>
      <x:c r="R6" s="19" t="str">
        <x:v>R</x:v>
      </x:c>
      <x:c r="S6" s="19" t="str">
        <x:v>E2SE6A för EL/26.A; inte den äldre bilaga-4-koden</x:v>
      </x:c>
      <x:c r="T6" s="19" t="str">
        <x:v>Nationell version av Ediel-meddelandet.</x:v>
      </x:c>
      <x:c r="U6" s="19" t="str">
        <x:v>16</x:v>
      </x:c>
      <x:c r="V6" s="19" t="str">
        <x:v>P §2.6 s.41; §2.2 s.16; T §4.2 och §2.2</x:v>
      </x:c>
      <x:c r="W6" s="19" t="str">
        <x:v>Kompletteras av segmenttabellens datatyp/längd i annex/source_tables.json och den fulla UNSM-grammatiken; använd inte nationell R/D/O som syntax-M.</x:v>
      </x:c>
    </x:row>
    <x:row r="7" ht="64.19999694824219" customHeight="1">
      <x:c r="A7" s="19" t="str">
        <x:v>202</x:v>
      </x:c>
      <x:c r="B7" s="19" t="str">
        <x:v>Meddelandenamn</x:v>
      </x:c>
      <x:c r="C7" s="19" t="str">
        <x:v>BGM/C002/1001</x:v>
      </x:c>
      <x:c r="D7" s="19" t="str">
        <x:v>message</x:v>
      </x:c>
      <x:c r="E7" s="19" t="str">
        <x:v>—</x:v>
      </x:c>
      <x:c r="F7" s="19" t="str">
        <x:v>R</x:v>
      </x:c>
      <x:c r="G7" s="19" t="str">
        <x:v>R</x:v>
      </x:c>
      <x:c r="H7" s="19" t="str">
        <x:v>R</x:v>
      </x:c>
      <x:c r="I7" s="19" t="str">
        <x:v>R</x:v>
      </x:c>
      <x:c r="J7" s="19" t="str">
        <x:v>R</x:v>
      </x:c>
      <x:c r="K7" s="19" t="str">
        <x:v>R</x:v>
      </x:c>
      <x:c r="L7" s="19" t="str">
        <x:v>R</x:v>
      </x:c>
      <x:c r="M7" s="19" t="str">
        <x:v>R</x:v>
      </x:c>
      <x:c r="N7" s="19" t="str">
        <x:v>R</x:v>
      </x:c>
      <x:c r="O7" s="19" t="str">
        <x:v>R</x:v>
      </x:c>
      <x:c r="P7" s="19" t="str">
        <x:v>R</x:v>
      </x:c>
      <x:c r="Q7" s="19" t="str">
        <x:v>R</x:v>
      </x:c>
      <x:c r="R7" s="19" t="str">
        <x:v>R</x:v>
      </x:c>
      <x:c r="S7" s="19" t="str">
        <x:v>Z01,Z02,Z03,Z04,Z05,Z06,Z08,Z09,Z10,Z13,Z14,Z15,Z18</x:v>
      </x:c>
      <x:c r="T7" s="19" t="str">
        <x:v>PRODAT funktion: Z01, Z02, Z03, Z04, Z05, Z06, Z08, Z09, Z10, Z13, Z14, Z15, Z18</x:v>
      </x:c>
      <x:c r="U7" s="19" t="str">
        <x:v>16</x:v>
      </x:c>
      <x:c r="V7" s="19" t="str">
        <x:v>P §2.6 s.42; §2.2 s.16</x:v>
      </x:c>
      <x:c r="W7" s="19" t="str">
        <x:v>Kompletteras av segmenttabellens datatyp/längd i annex/source_tables.json och den fulla UNSM-grammatiken; använd inte nationell R/D/O som syntax-M.</x:v>
      </x:c>
    </x:row>
    <x:row r="8" ht="64.19999694824219" customHeight="1">
      <x:c r="A8" s="19" t="str">
        <x:v>203</x:v>
      </x:c>
      <x:c r="B8" s="19" t="str">
        <x:v>Meddelandeidentifikation</x:v>
      </x:c>
      <x:c r="C8" s="19" t="str">
        <x:v>BGM/1004</x:v>
      </x:c>
      <x:c r="D8" s="19" t="str">
        <x:v>message</x:v>
      </x:c>
      <x:c r="E8" s="19" t="str">
        <x:v>—</x:v>
      </x:c>
      <x:c r="F8" s="19" t="str">
        <x:v>R</x:v>
      </x:c>
      <x:c r="G8" s="19" t="str">
        <x:v>R</x:v>
      </x:c>
      <x:c r="H8" s="19" t="str">
        <x:v>R</x:v>
      </x:c>
      <x:c r="I8" s="19" t="str">
        <x:v>R</x:v>
      </x:c>
      <x:c r="J8" s="19" t="str">
        <x:v>R</x:v>
      </x:c>
      <x:c r="K8" s="19" t="str">
        <x:v>R</x:v>
      </x:c>
      <x:c r="L8" s="19" t="str">
        <x:v>R</x:v>
      </x:c>
      <x:c r="M8" s="19" t="str">
        <x:v>R</x:v>
      </x:c>
      <x:c r="N8" s="19" t="str">
        <x:v>R</x:v>
      </x:c>
      <x:c r="O8" s="19" t="str">
        <x:v>R</x:v>
      </x:c>
      <x:c r="P8" s="19" t="str">
        <x:v>R</x:v>
      </x:c>
      <x:c r="Q8" s="19" t="str">
        <x:v>R</x:v>
      </x:c>
      <x:c r="R8" s="19" t="str">
        <x:v>R</x:v>
      </x:c>
      <x:c r="S8" s="19" t="str">
        <x:v>PRODAT D97A: platt 1004; unik meddelandeidentitet, inte UNH/0062</x:v>
      </x:c>
      <x:c r="T8" s="19" t="str">
        <x:v>Unik identitet på meddelandet.</x:v>
      </x:c>
      <x:c r="U8" s="19" t="str">
        <x:v>16</x:v>
      </x:c>
      <x:c r="V8" s="19" t="str">
        <x:v>P §2.6 s.42; §2.2 s.16</x:v>
      </x:c>
      <x:c r="W8" s="19" t="str">
        <x:v>Kompletteras av segmenttabellens datatyp/längd i annex/source_tables.json och den fulla UNSM-grammatiken; använd inte nationell R/D/O som syntax-M.</x:v>
      </x:c>
    </x:row>
    <x:row r="9" ht="64.19999694824219" customHeight="1">
      <x:c r="A9" s="19" t="str">
        <x:v>204</x:v>
      </x:c>
      <x:c r="B9" s="19" t="str">
        <x:v>Meddelandefunktion</x:v>
      </x:c>
      <x:c r="C9" s="19" t="str">
        <x:v>BGM/1225</x:v>
      </x:c>
      <x:c r="D9" s="19" t="str">
        <x:v>message</x:v>
      </x:c>
      <x:c r="E9" s="19" t="str">
        <x:v>—</x:v>
      </x:c>
      <x:c r="F9" s="19" t="str">
        <x:v>O</x:v>
      </x:c>
      <x:c r="G9" s="19" t="str">
        <x:v>O</x:v>
      </x:c>
      <x:c r="H9" s="19" t="str">
        <x:v>O</x:v>
      </x:c>
      <x:c r="I9" s="19" t="str">
        <x:v>O</x:v>
      </x:c>
      <x:c r="J9" s="19" t="str">
        <x:v>O</x:v>
      </x:c>
      <x:c r="K9" s="19" t="str">
        <x:v>O</x:v>
      </x:c>
      <x:c r="L9" s="19" t="str">
        <x:v>O</x:v>
      </x:c>
      <x:c r="M9" s="19" t="str">
        <x:v>O</x:v>
      </x:c>
      <x:c r="N9" s="19" t="str">
        <x:v>O</x:v>
      </x:c>
      <x:c r="O9" s="19" t="str">
        <x:v>O</x:v>
      </x:c>
      <x:c r="P9" s="19" t="str">
        <x:v>O</x:v>
      </x:c>
      <x:c r="Q9" s="19" t="str">
        <x:v>O</x:v>
      </x:c>
      <x:c r="R9" s="19" t="str">
        <x:v>O</x:v>
      </x:c>
      <x:c r="S9" s="19" t="str">
        <x:v>9 original, 5 ersättningsmeddelande; användningsklass O</x:v>
      </x:c>
      <x:c r="T9" s="19" t="str">
        <x:v>Kod 9 anger originalmeddelande och kod 5 anger ersättningsmeddelande</x:v>
      </x:c>
      <x:c r="U9" s="19" t="str">
        <x:v>16</x:v>
      </x:c>
      <x:c r="V9" s="19" t="str">
        <x:v>P §2.6 s.42; §2.2 s.16</x:v>
      </x:c>
      <x:c r="W9" s="19" t="str">
        <x:v>Kompletteras av segmenttabellens datatyp/längd i annex/source_tables.json och den fulla UNSM-grammatiken; använd inte nationell R/D/O som syntax-M.</x:v>
      </x:c>
    </x:row>
    <x:row r="10" ht="64.19999694824219" customHeight="1">
      <x:c r="A10" s="19" t="str">
        <x:v>313</x:v>
      </x:c>
      <x:c r="B10" s="19" t="str">
        <x:v>Kvittensbegäran</x:v>
      </x:c>
      <x:c r="C10" s="19" t="str">
        <x:v>BGM/4343</x:v>
      </x:c>
      <x:c r="D10" s="19" t="str">
        <x:v>message</x:v>
      </x:c>
      <x:c r="E10" s="19" t="str">
        <x:v>—</x:v>
      </x:c>
      <x:c r="F10" s="19" t="str">
        <x:v>O</x:v>
      </x:c>
      <x:c r="G10" s="19" t="str">
        <x:v>R</x:v>
      </x:c>
      <x:c r="H10" s="19" t="str">
        <x:v>R</x:v>
      </x:c>
      <x:c r="I10" s="19" t="str">
        <x:v>R</x:v>
      </x:c>
      <x:c r="J10" s="19" t="str">
        <x:v>R</x:v>
      </x:c>
      <x:c r="K10" s="19" t="str">
        <x:v>R</x:v>
      </x:c>
      <x:c r="L10" s="19" t="str">
        <x:v>R</x:v>
      </x:c>
      <x:c r="M10" s="19" t="str">
        <x:v>R</x:v>
      </x:c>
      <x:c r="N10" s="19" t="str">
        <x:v>R</x:v>
      </x:c>
      <x:c r="O10" s="19" t="str">
        <x:v>R</x:v>
      </x:c>
      <x:c r="P10" s="19" t="str">
        <x:v>R</x:v>
      </x:c>
      <x:c r="Q10" s="19" t="str">
        <x:v>R</x:v>
      </x:c>
      <x:c r="R10" s="19" t="str">
        <x:v>R</x:v>
      </x:c>
      <x:c r="S10" s="19" t="str">
        <x:v>AB eller NA; Z01 O, övriga R; NA ensam är inte avvisningsskäl</x:v>
      </x:c>
      <x:c r="T10" s="19" t="str">
        <x:v>Begäran om APERAK</x:v>
      </x:c>
      <x:c r="U10" s="19" t="str">
        <x:v>16</x:v>
      </x:c>
      <x:c r="V10" s="19" t="str">
        <x:v>P §2.6 s.42; §2.2 s.16</x:v>
      </x:c>
      <x:c r="W10" s="19" t="str">
        <x:v>Kompletteras av segmenttabellens datatyp/längd i annex/source_tables.json och den fulla UNSM-grammatiken; använd inte nationell R/D/O som syntax-M.</x:v>
      </x:c>
    </x:row>
    <x:row r="11" ht="64.19999694824219" customHeight="1">
      <x:c r="A11" s="19" t="str">
        <x:v>205</x:v>
      </x:c>
      <x:c r="B11" s="19" t="str">
        <x:v>Meddelandedatum</x:v>
      </x:c>
      <x:c r="C11" s="19" t="str">
        <x:v>DTM[2005=137]/C507/2380</x:v>
      </x:c>
      <x:c r="D11" s="19" t="str">
        <x:v>message</x:v>
      </x:c>
      <x:c r="E11" s="19" t="str">
        <x:v>—</x:v>
      </x:c>
      <x:c r="F11" s="19" t="str">
        <x:v>R</x:v>
      </x:c>
      <x:c r="G11" s="19" t="str">
        <x:v>R</x:v>
      </x:c>
      <x:c r="H11" s="19" t="str">
        <x:v>R</x:v>
      </x:c>
      <x:c r="I11" s="19" t="str">
        <x:v>R</x:v>
      </x:c>
      <x:c r="J11" s="19" t="str">
        <x:v>R</x:v>
      </x:c>
      <x:c r="K11" s="19" t="str">
        <x:v>R</x:v>
      </x:c>
      <x:c r="L11" s="19" t="str">
        <x:v>R</x:v>
      </x:c>
      <x:c r="M11" s="19" t="str">
        <x:v>R</x:v>
      </x:c>
      <x:c r="N11" s="19" t="str">
        <x:v>R</x:v>
      </x:c>
      <x:c r="O11" s="19" t="str">
        <x:v>R</x:v>
      </x:c>
      <x:c r="P11" s="19" t="str">
        <x:v>R</x:v>
      </x:c>
      <x:c r="Q11" s="19" t="str">
        <x:v>R</x:v>
      </x:c>
      <x:c r="R11" s="19" t="str">
        <x:v>R</x:v>
      </x:c>
      <x:c r="S11" s="19" t="str">
        <x:v>203 CCYYMMDDHHmm; applikationens skapandetid</x:v>
      </x:c>
      <x:c r="T11" s="19" t="str">
        <x:v>Datum då PRODAT-meddelandet skapades i applikationen (ej EDI-systemet)</x:v>
      </x:c>
      <x:c r="U11" s="19" t="str">
        <x:v>16</x:v>
      </x:c>
      <x:c r="V11" s="19" t="str">
        <x:v>P §2.6 s.43; §2.2 s.16</x:v>
      </x:c>
      <x:c r="W11" s="19" t="str">
        <x:v>Kompletteras av segmenttabellens datatyp/längd i annex/source_tables.json och den fulla UNSM-grammatiken; använd inte nationell R/D/O som syntax-M.</x:v>
      </x:c>
    </x:row>
    <x:row r="12" ht="64.19999694824219" customHeight="1">
      <x:c r="A12" s="19" t="str">
        <x:v>206</x:v>
      </x:c>
      <x:c r="B12" s="19" t="str">
        <x:v>Tidszon</x:v>
      </x:c>
      <x:c r="C12" s="19" t="str">
        <x:v>DTM[2005=ZZZ]/C507/2380</x:v>
      </x:c>
      <x:c r="D12" s="19" t="str">
        <x:v>message</x:v>
      </x:c>
      <x:c r="E12" s="19" t="str">
        <x:v>—</x:v>
      </x:c>
      <x:c r="F12" s="19" t="str">
        <x:v>R</x:v>
      </x:c>
      <x:c r="G12" s="19" t="str">
        <x:v>R</x:v>
      </x:c>
      <x:c r="H12" s="19" t="str">
        <x:v>R</x:v>
      </x:c>
      <x:c r="I12" s="19" t="str">
        <x:v>R</x:v>
      </x:c>
      <x:c r="J12" s="19" t="str">
        <x:v>R</x:v>
      </x:c>
      <x:c r="K12" s="19" t="str">
        <x:v>R</x:v>
      </x:c>
      <x:c r="L12" s="19" t="str">
        <x:v>R</x:v>
      </x:c>
      <x:c r="M12" s="19" t="str">
        <x:v>R</x:v>
      </x:c>
      <x:c r="N12" s="19" t="str">
        <x:v>R</x:v>
      </x:c>
      <x:c r="O12" s="19" t="str">
        <x:v>R</x:v>
      </x:c>
      <x:c r="P12" s="19" t="str">
        <x:v>R</x:v>
      </x:c>
      <x:c r="Q12" s="19" t="str">
        <x:v>R</x:v>
      </x:c>
      <x:c r="R12" s="19" t="str">
        <x:v>R</x:v>
      </x:c>
      <x:c r="S12" s="19" t="str">
        <x:v>1 med format 805; fast svensk normaltid</x:v>
      </x:c>
      <x:c r="T12" s="19" t="str">
        <x:v>Tidzon anges som "offset" till UTC, alltid "1" för både normaltid och sommartid i Sverige. Se handboken.</x:v>
      </x:c>
      <x:c r="U12" s="19" t="str">
        <x:v>16</x:v>
      </x:c>
      <x:c r="V12" s="19" t="str">
        <x:v>P §2.6 s.43; §2.2 s.16</x:v>
      </x:c>
      <x:c r="W12" s="19" t="str">
        <x:v>Kompletteras av segmenttabellens datatyp/längd i annex/source_tables.json och den fulla UNSM-grammatiken; använd inte nationell R/D/O som syntax-M.</x:v>
      </x:c>
    </x:row>
    <x:row r="13" ht="64.19999694824219" customHeight="1">
      <x:c r="A13" s="19" t="str">
        <x:v>301</x:v>
      </x:c>
      <x:c r="B13" s="19" t="str">
        <x:v>Fritext (huvud)</x:v>
      </x:c>
      <x:c r="C13" s="19" t="str">
        <x:v>FTX[4451=AAI]/C108/4440[1..5]</x:v>
      </x:c>
      <x:c r="D13" s="19" t="str">
        <x:v>message</x:v>
      </x:c>
      <x:c r="E13" s="19" t="str">
        <x:v>—</x:v>
      </x:c>
      <x:c r="F13" s="19" t="str">
        <x:v>O</x:v>
      </x:c>
      <x:c r="G13" s="19" t="str">
        <x:v>O</x:v>
      </x:c>
      <x:c r="H13" s="19" t="str">
        <x:v>O</x:v>
      </x:c>
      <x:c r="I13" s="19" t="str">
        <x:v>O</x:v>
      </x:c>
      <x:c r="J13" s="19" t="str">
        <x:v>O</x:v>
      </x:c>
      <x:c r="K13" s="19" t="str">
        <x:v>O</x:v>
      </x:c>
      <x:c r="L13" s="19" t="str">
        <x:v>O</x:v>
      </x:c>
      <x:c r="M13" s="19" t="str">
        <x:v>O</x:v>
      </x:c>
      <x:c r="N13" s="19" t="str">
        <x:v>O</x:v>
      </x:c>
      <x:c r="O13" s="19" t="str">
        <x:v>O</x:v>
      </x:c>
      <x:c r="P13" s="19" t="str">
        <x:v>O</x:v>
      </x:c>
      <x:c r="Q13" s="19" t="str">
        <x:v>O</x:v>
      </x:c>
      <x:c r="R13" s="19" t="str">
        <x:v>O</x:v>
      </x:c>
      <x:c r="S13" s="19" t="str">
        <x:v>Fritext i huvudet; längd/status per P segmenttabell</x:v>
      </x:c>
      <x:c r="T13" s="19" t="str">
        <x:v>Fritext rekommenderas EJ, anv. endast i undantagsfall</x:v>
      </x:c>
      <x:c r="U13" s="19" t="str">
        <x:v>16</x:v>
      </x:c>
      <x:c r="V13" s="19" t="str">
        <x:v>P §2.6 s.44; §2.2 s.16</x:v>
      </x:c>
      <x:c r="W13" s="19" t="str">
        <x:v>Kompletteras av segmenttabellens datatyp/längd i annex/source_tables.json och den fulla UNSM-grammatiken; använd inte nationell R/D/O som syntax-M.</x:v>
      </x:c>
    </x:row>
    <x:row r="14" ht="64.19999694824219" customHeight="1">
      <x:c r="A14" s="19" t="str">
        <x:v>207</x:v>
      </x:c>
      <x:c r="B14" s="19" t="str">
        <x:v>Avsändare (Ediel-ID)</x:v>
      </x:c>
      <x:c r="C14" s="19" t="str">
        <x:v>SG4/NAD[3035=FR]/C082/3039 + 3207</x:v>
      </x:c>
      <x:c r="D14" s="19" t="str">
        <x:v>message</x:v>
      </x:c>
      <x:c r="E14" s="19" t="str">
        <x:v>—</x:v>
      </x:c>
      <x:c r="F14" s="19" t="str">
        <x:v>R</x:v>
      </x:c>
      <x:c r="G14" s="19" t="str">
        <x:v>R</x:v>
      </x:c>
      <x:c r="H14" s="19" t="str">
        <x:v>R</x:v>
      </x:c>
      <x:c r="I14" s="19" t="str">
        <x:v>R</x:v>
      </x:c>
      <x:c r="J14" s="19" t="str">
        <x:v>R</x:v>
      </x:c>
      <x:c r="K14" s="19" t="str">
        <x:v>R</x:v>
      </x:c>
      <x:c r="L14" s="19" t="str">
        <x:v>R</x:v>
      </x:c>
      <x:c r="M14" s="19" t="str">
        <x:v>R</x:v>
      </x:c>
      <x:c r="N14" s="19" t="str">
        <x:v>R</x:v>
      </x:c>
      <x:c r="O14" s="19" t="str">
        <x:v>R</x:v>
      </x:c>
      <x:c r="P14" s="19" t="str">
        <x:v>R</x:v>
      </x:c>
      <x:c r="Q14" s="19" t="str">
        <x:v>R</x:v>
      </x:c>
      <x:c r="R14" s="19" t="str">
        <x:v>R</x:v>
      </x:c>
      <x:c r="S14" s="19" t="str">
        <x:v>Juridisk avsändare; 160:SVK; landskod; inte UNB-teknisk part</x:v>
      </x:c>
      <x:c r="T14" s="19" t="str">
        <x:v>Giltigt Ediel-id enligt Ediel-register i Edielportalen samt landskod.</x:v>
      </x:c>
      <x:c r="U14" s="19" t="str">
        <x:v>16</x:v>
      </x:c>
      <x:c r="V14" s="19" t="str">
        <x:v>P §2.6 s.45; §2.2 s.16</x:v>
      </x:c>
      <x:c r="W14" s="19" t="str">
        <x:v>Kompletteras av segmenttabellens datatyp/längd i annex/source_tables.json och den fulla UNSM-grammatiken; använd inte nationell R/D/O som syntax-M.</x:v>
      </x:c>
    </x:row>
    <x:row r="15" ht="64.19999694824219" customHeight="1">
      <x:c r="A15" s="19" t="str">
        <x:v>315</x:v>
      </x:c>
      <x:c r="B15" s="19" t="str">
        <x:v>Avsändarens org.nr</x:v>
      </x:c>
      <x:c r="C15" s="19" t="str">
        <x:v>SG6/RFF[1153=XA]/C506/1154</x:v>
      </x:c>
      <x:c r="D15" s="19" t="str">
        <x:v>message</x:v>
      </x:c>
      <x:c r="E15" s="19" t="str">
        <x:v>—</x:v>
      </x:c>
      <x:c r="F15" s="19" t="str">
        <x:v>-</x:v>
      </x:c>
      <x:c r="G15" s="19" t="str">
        <x:v>-</x:v>
      </x:c>
      <x:c r="H15" s="19" t="str">
        <x:v>O</x:v>
      </x:c>
      <x:c r="I15" s="19" t="str">
        <x:v>-</x:v>
      </x:c>
      <x:c r="J15" s="19" t="str">
        <x:v>-</x:v>
      </x:c>
      <x:c r="K15" s="19" t="str">
        <x:v>-</x:v>
      </x:c>
      <x:c r="L15" s="19" t="str">
        <x:v>-</x:v>
      </x:c>
      <x:c r="M15" s="19" t="str">
        <x:v>-</x:v>
      </x:c>
      <x:c r="N15" s="19" t="str">
        <x:v>-</x:v>
      </x:c>
      <x:c r="O15" s="19" t="str">
        <x:v>-</x:v>
      </x:c>
      <x:c r="P15" s="19" t="str">
        <x:v>-</x:v>
      </x:c>
      <x:c r="Q15" s="19" t="str">
        <x:v>-</x:v>
      </x:c>
      <x:c r="R15" s="19" t="str">
        <x:v>-</x:v>
      </x:c>
      <x:c r="S15" s="19" t="str">
        <x:v>Avsändarens organisationsnummer när angivet i Z03</x:v>
      </x:c>
      <x:c r="T15" s="19" t="str">
        <x:v>Avsändarens organisationsnummer</x:v>
      </x:c>
      <x:c r="U15" s="19" t="str">
        <x:v>16</x:v>
      </x:c>
      <x:c r="V15" s="19" t="str">
        <x:v>P §2.6 s.46; §2.2 s.16</x:v>
      </x:c>
      <x:c r="W15" s="19" t="str">
        <x:v>Kompletteras av segmenttabellens datatyp/längd i annex/source_tables.json och den fulla UNSM-grammatiken; använd inte nationell R/D/O som syntax-M.</x:v>
      </x:c>
    </x:row>
    <x:row r="16" ht="64.19999694824219" customHeight="1">
      <x:c r="A16" s="19" t="str">
        <x:v>208</x:v>
      </x:c>
      <x:c r="B16" s="19" t="str">
        <x:v>Mottagare (Ediel-ID)</x:v>
      </x:c>
      <x:c r="C16" s="19" t="str">
        <x:v>SG4/NAD[3035=DO]/C082/3039 + 3207</x:v>
      </x:c>
      <x:c r="D16" s="19" t="str">
        <x:v>message</x:v>
      </x:c>
      <x:c r="E16" s="19" t="str">
        <x:v>—</x:v>
      </x:c>
      <x:c r="F16" s="19" t="str">
        <x:v>R</x:v>
      </x:c>
      <x:c r="G16" s="19" t="str">
        <x:v>R</x:v>
      </x:c>
      <x:c r="H16" s="19" t="str">
        <x:v>R</x:v>
      </x:c>
      <x:c r="I16" s="19" t="str">
        <x:v>R</x:v>
      </x:c>
      <x:c r="J16" s="19" t="str">
        <x:v>R</x:v>
      </x:c>
      <x:c r="K16" s="19" t="str">
        <x:v>R</x:v>
      </x:c>
      <x:c r="L16" s="19" t="str">
        <x:v>R</x:v>
      </x:c>
      <x:c r="M16" s="19" t="str">
        <x:v>R</x:v>
      </x:c>
      <x:c r="N16" s="19" t="str">
        <x:v>R</x:v>
      </x:c>
      <x:c r="O16" s="19" t="str">
        <x:v>R</x:v>
      </x:c>
      <x:c r="P16" s="19" t="str">
        <x:v>R</x:v>
      </x:c>
      <x:c r="Q16" s="19" t="str">
        <x:v>R</x:v>
      </x:c>
      <x:c r="R16" s="19" t="str">
        <x:v>R</x:v>
      </x:c>
      <x:c r="S16" s="19" t="str">
        <x:v>Juridisk mottagare; 160:SVK; landskod</x:v>
      </x:c>
      <x:c r="T16" s="19" t="str">
        <x:v>Giltigt Ediel-id enligt Ediel-register i Edielportalen samt landskod.</x:v>
      </x:c>
      <x:c r="U16" s="19" t="str">
        <x:v>16</x:v>
      </x:c>
      <x:c r="V16" s="19" t="str">
        <x:v>P §2.6 s.46; §2.2 s.16</x:v>
      </x:c>
      <x:c r="W16" s="19" t="str">
        <x:v>Kompletteras av segmenttabellens datatyp/längd i annex/source_tables.json och den fulla UNSM-grammatiken; använd inte nationell R/D/O som syntax-M.</x:v>
      </x:c>
    </x:row>
    <x:row r="17" ht="64.19999694824219" customHeight="1">
      <x:c r="A17" s="19" t="str">
        <x:v>314</x:v>
      </x:c>
      <x:c r="B17" s="19" t="str">
        <x:v>Sekvensnummer</x:v>
      </x:c>
      <x:c r="C17" s="19" t="str">
        <x:v>SG8/LIN/1082</x:v>
      </x:c>
      <x:c r="D17" s="19" t="str">
        <x:v>line</x:v>
      </x:c>
      <x:c r="E17" s="19" t="str">
        <x:v>—</x:v>
      </x:c>
      <x:c r="F17" s="19" t="str">
        <x:v>R</x:v>
      </x:c>
      <x:c r="G17" s="19" t="str">
        <x:v>R</x:v>
      </x:c>
      <x:c r="H17" s="19" t="str">
        <x:v>R</x:v>
      </x:c>
      <x:c r="I17" s="19" t="str">
        <x:v>R</x:v>
      </x:c>
      <x:c r="J17" s="19" t="str">
        <x:v>R</x:v>
      </x:c>
      <x:c r="K17" s="19" t="str">
        <x:v>R</x:v>
      </x:c>
      <x:c r="L17" s="19" t="str">
        <x:v>R</x:v>
      </x:c>
      <x:c r="M17" s="19" t="str">
        <x:v>R</x:v>
      </x:c>
      <x:c r="N17" s="19" t="str">
        <x:v>R</x:v>
      </x:c>
      <x:c r="O17" s="19" t="str">
        <x:v>R</x:v>
      </x:c>
      <x:c r="P17" s="19" t="str">
        <x:v>R</x:v>
      </x:c>
      <x:c r="Q17" s="19" t="str">
        <x:v>R</x:v>
      </x:c>
      <x:c r="R17" s="19" t="str">
        <x:v>R</x:v>
      </x:c>
      <x:c r="S17" s="19" t="str">
        <x:v>1..n i obruten stigande följd över hela meddelandet</x:v>
      </x:c>
      <x:c r="T17" s="19" t="str">
        <x:v>Sekvensnummer</x:v>
      </x:c>
      <x:c r="U17" s="19" t="str">
        <x:v>16</x:v>
      </x:c>
      <x:c r="V17" s="19" t="str">
        <x:v>P §2.6 s.47; §2.2 s.16</x:v>
      </x:c>
      <x:c r="W17" s="19" t="str">
        <x:v>Kompletteras av segmenttabellens datatyp/längd i annex/source_tables.json och den fulla UNSM-grammatiken; använd inte nationell R/D/O som syntax-M.</x:v>
      </x:c>
    </x:row>
    <x:row r="18" ht="64.19999694824219" customHeight="1">
      <x:c r="A18" s="19" t="str">
        <x:v>209</x:v>
      </x:c>
      <x:c r="B18" s="19" t="str">
        <x:v>Anläggnings-id</x:v>
      </x:c>
      <x:c r="C18" s="19" t="str">
        <x:v>SG8/LIN/C212/7140</x:v>
      </x:c>
      <x:c r="D18" s="19" t="str">
        <x:v>object</x:v>
      </x:c>
      <x:c r="E18" s="19" t="str">
        <x:v>—</x:v>
      </x:c>
      <x:c r="F18" s="19" t="str">
        <x:v>R</x:v>
      </x:c>
      <x:c r="G18" s="19" t="str">
        <x:v>R</x:v>
      </x:c>
      <x:c r="H18" s="19" t="str">
        <x:v>R</x:v>
      </x:c>
      <x:c r="I18" s="19" t="str">
        <x:v>R</x:v>
      </x:c>
      <x:c r="J18" s="19" t="str">
        <x:v>R</x:v>
      </x:c>
      <x:c r="K18" s="19" t="str">
        <x:v>R</x:v>
      </x:c>
      <x:c r="L18" s="19" t="str">
        <x:v>R</x:v>
      </x:c>
      <x:c r="M18" s="19" t="str">
        <x:v>R</x:v>
      </x:c>
      <x:c r="N18" s="19" t="str">
        <x:v>R</x:v>
      </x:c>
      <x:c r="O18" s="19" t="str">
        <x:v>-</x:v>
      </x:c>
      <x:c r="P18" s="19" t="str">
        <x:v>D</x:v>
      </x:c>
      <x:c r="Q18" s="19" t="str">
        <x:v>R</x:v>
      </x:c>
      <x:c r="R18" s="19" t="str">
        <x:v>R</x:v>
      </x:c>
      <x:c r="S18" s="19" t="str">
        <x:v>Nationellt högst 25 tecken; identitetskodlista/ansvarig 9 eller 89 enligt källprofil</x:v>
      </x:c>
      <x:c r="T18" s="19" t="str">
        <x:v>Nätägarens identifikation av anläggningen. Skickas i Z14, utom i Z14N.</x:v>
      </x:c>
      <x:c r="U18" s="19" t="str">
        <x:v>16</x:v>
      </x:c>
      <x:c r="V18" s="19" t="str">
        <x:v>P §2.6 s.47; §2.2 s.16</x:v>
      </x:c>
      <x:c r="W18" s="19" t="str">
        <x:v>Kompletteras av segmenttabellens datatyp/längd i annex/source_tables.json och den fulla UNSM-grammatiken; använd inte nationell R/D/O som syntax-M.</x:v>
      </x:c>
    </x:row>
    <x:row r="19" ht="78" customHeight="1">
      <x:c r="A19" s="19" t="str">
        <x:v>258</x:v>
      </x:c>
      <x:c r="B19" s="19" t="str">
        <x:v>Sekvensnummer</x:v>
      </x:c>
      <x:c r="C19" s="19" t="str">
        <x:v>SG8/LIN/C829/1082</x:v>
      </x:c>
      <x:c r="D19" s="19" t="str">
        <x:v>register</x:v>
      </x:c>
      <x:c r="E19" s="19" t="str">
        <x:v>—</x:v>
      </x:c>
      <x:c r="F19" s="19" t="str">
        <x:v>-</x:v>
      </x:c>
      <x:c r="G19" s="19" t="str">
        <x:v>-</x:v>
      </x:c>
      <x:c r="H19" s="19" t="str">
        <x:v>-</x:v>
      </x:c>
      <x:c r="I19" s="19" t="str">
        <x:v>D</x:v>
      </x:c>
      <x:c r="J19" s="19" t="str">
        <x:v>-</x:v>
      </x:c>
      <x:c r="K19" s="19" t="str">
        <x:v>D</x:v>
      </x:c>
      <x:c r="L19" s="19" t="str">
        <x:v>-</x:v>
      </x:c>
      <x:c r="M19" s="19" t="str">
        <x:v>-</x:v>
      </x:c>
      <x:c r="N19" s="19" t="str">
        <x:v>D</x:v>
      </x:c>
      <x:c r="O19" s="19" t="str">
        <x:v>-</x:v>
      </x:c>
      <x:c r="P19" s="19" t="str">
        <x:v>-</x:v>
      </x:c>
      <x:c r="Q19" s="19" t="str">
        <x:v>-</x:v>
      </x:c>
      <x:c r="R19" s="19" t="str">
        <x:v>-</x:v>
      </x:c>
      <x:c r="S19" s="19" t="str">
        <x:v>C829/5495=1; registerindex 1..m per objekt; inte samma som 314</x:v>
      </x:c>
      <x:c r="T19" s="19" t="str">
        <x:v>Sekvensnummer för varje register för aktuell anläggning/mätare. Obligatorisk för anläggningar (mätare) med fler register. Anges ej för anläggningar med endast ett register. För detaljerad information om uppgifter för register 2 och högre, se bilaga 2.</x:v>
      </x:c>
      <x:c r="U19" s="19" t="str">
        <x:v>16</x:v>
      </x:c>
      <x:c r="V19" s="19" t="str">
        <x:v>P §2.6 s.47; §2.2 s.16</x:v>
      </x:c>
      <x:c r="W19" s="19" t="str">
        <x:v>Kompletteras av segmenttabellens datatyp/längd i annex/source_tables.json och den fulla UNSM-grammatiken; använd inte nationell R/D/O som syntax-M.</x:v>
      </x:c>
    </x:row>
    <x:row r="20" ht="91.80000305175781" customHeight="1">
      <x:c r="A20" s="19" t="str">
        <x:v>210</x:v>
      </x:c>
      <x:c r="B20" s="19" t="str">
        <x:v>Avtal, startdatum</x:v>
      </x:c>
      <x:c r="C20" s="19" t="str">
        <x:v>SG8/DTM[2005=92]/C507/2380</x:v>
      </x:c>
      <x:c r="D20" s="19" t="str">
        <x:v>object</x:v>
      </x:c>
      <x:c r="E20" s="19" t="str">
        <x:v>—</x:v>
      </x:c>
      <x:c r="F20" s="19" t="str">
        <x:v>R</x:v>
      </x:c>
      <x:c r="G20" s="19" t="str">
        <x:v>-</x:v>
      </x:c>
      <x:c r="H20" s="19" t="str">
        <x:v>R</x:v>
      </x:c>
      <x:c r="I20" s="19" t="str">
        <x:v>R</x:v>
      </x:c>
      <x:c r="J20" s="19" t="str">
        <x:v>-</x:v>
      </x:c>
      <x:c r="K20" s="19" t="str">
        <x:v>D</x:v>
      </x:c>
      <x:c r="L20" s="19" t="str">
        <x:v>-</x:v>
      </x:c>
      <x:c r="M20" s="19" t="str">
        <x:v>D</x:v>
      </x:c>
      <x:c r="N20" s="19" t="str">
        <x:v>D</x:v>
      </x:c>
      <x:c r="O20" s="19" t="str">
        <x:v>-</x:v>
      </x:c>
      <x:c r="P20" s="19" t="str">
        <x:v>-</x:v>
      </x:c>
      <x:c r="Q20" s="19" t="str">
        <x:v>-</x:v>
      </x:c>
      <x:c r="R20" s="19" t="str">
        <x:v>-</x:v>
      </x:c>
      <x:c r="S20" s="19" t="str">
        <x:v>203 CCYYMMDDHHmm; leverans-/avtalsstart</x:v>
      </x:c>
      <x:c r="T20" s="19" t="str">
        <x:v>Avser det datum som leverans startar. Giltigt startdatum, se Handboken. Z06/Z10: Om ändring gäller en ändring som sker före leveransstart är ”avtal startdatum” obligatoriskt och meddelande ska skickas till den framtida leverantören. Z09: Används enbart i Z09D och då endast i anslutning till att avtal om produktion tecknas.</x:v>
      </x:c>
      <x:c r="U20" s="19" t="str">
        <x:v>16; 17</x:v>
      </x:c>
      <x:c r="V20" s="19" t="str">
        <x:v>P §2.6 s.50; §2.2 s.16, 17</x:v>
      </x:c>
      <x:c r="W20" s="19" t="str">
        <x:v>Kompletteras av segmenttabellens datatyp/längd i annex/source_tables.json och den fulla UNSM-grammatiken; använd inte nationell R/D/O som syntax-M.</x:v>
      </x:c>
    </x:row>
    <x:row r="21" ht="78" customHeight="1">
      <x:c r="A21" s="19" t="str">
        <x:v>211</x:v>
      </x:c>
      <x:c r="B21" s="19" t="str">
        <x:v>Avtal, slutdatum</x:v>
      </x:c>
      <x:c r="C21" s="19" t="str">
        <x:v>SG8/DTM[2005=93]/C507/2380</x:v>
      </x:c>
      <x:c r="D21" s="19" t="str">
        <x:v>object</x:v>
      </x:c>
      <x:c r="E21" s="19" t="str">
        <x:v>—</x:v>
      </x:c>
      <x:c r="F21" s="19" t="str">
        <x:v>-</x:v>
      </x:c>
      <x:c r="G21" s="19" t="str">
        <x:v>-</x:v>
      </x:c>
      <x:c r="H21" s="19" t="str">
        <x:v>-</x:v>
      </x:c>
      <x:c r="I21" s="19" t="str">
        <x:v>-</x:v>
      </x:c>
      <x:c r="J21" s="19" t="str">
        <x:v>R</x:v>
      </x:c>
      <x:c r="K21" s="19" t="str">
        <x:v>O</x:v>
      </x:c>
      <x:c r="L21" s="19" t="str">
        <x:v>R</x:v>
      </x:c>
      <x:c r="M21" s="19" t="str">
        <x:v>D</x:v>
      </x:c>
      <x:c r="N21" s="19" t="str">
        <x:v>-</x:v>
      </x:c>
      <x:c r="O21" s="19" t="str">
        <x:v>-</x:v>
      </x:c>
      <x:c r="P21" s="19" t="str">
        <x:v>-</x:v>
      </x:c>
      <x:c r="Q21" s="19" t="str">
        <x:v>-</x:v>
      </x:c>
      <x:c r="R21" s="19" t="str">
        <x:v>-</x:v>
      </x:c>
      <x:c r="S21" s="19" t="str">
        <x:v>203; leverans-/avtalsslut</x:v>
      </x:c>
      <x:c r="T21" s="19" t="str">
        <x:v>Avser det datum som leverans slutar. Z09: Används enbart i Z09D och då endast i anslutning till att avtal om produktion avslutas. Får ej anges samtidigt som Avtal, startdatum i Z09D, vid fel används kod 109 i APERAK fält A903. Giltigt slutdatum, se Handboken.</x:v>
      </x:c>
      <x:c r="U21" s="19" t="str">
        <x:v>17</x:v>
      </x:c>
      <x:c r="V21" s="19" t="str">
        <x:v>P §2.6 s.50; §2.2 s.17</x:v>
      </x:c>
      <x:c r="W21" s="19" t="str">
        <x:v>Kompletteras av segmenttabellens datatyp/längd i annex/source_tables.json och den fulla UNSM-grammatiken; använd inte nationell R/D/O som syntax-M.</x:v>
      </x:c>
    </x:row>
    <x:row r="22" ht="91.80000305175781" customHeight="1">
      <x:c r="A22" s="19" t="str">
        <x:v>302</x:v>
      </x:c>
      <x:c r="B22" s="19" t="str">
        <x:v>Rapportstartdatum</x:v>
      </x:c>
      <x:c r="C22" s="19" t="str">
        <x:v>SG8/DTM[2005=90]/C507/2380</x:v>
      </x:c>
      <x:c r="D22" s="19" t="str">
        <x:v>object</x:v>
      </x:c>
      <x:c r="E22" s="19" t="str">
        <x:v>—</x:v>
      </x:c>
      <x:c r="F22" s="19" t="str">
        <x:v>-</x:v>
      </x:c>
      <x:c r="G22" s="19" t="str">
        <x:v>-</x:v>
      </x:c>
      <x:c r="H22" s="19" t="str">
        <x:v>-</x:v>
      </x:c>
      <x:c r="I22" s="19" t="str">
        <x:v>O</x:v>
      </x:c>
      <x:c r="J22" s="19" t="str">
        <x:v>-</x:v>
      </x:c>
      <x:c r="K22" s="19" t="str">
        <x:v>-</x:v>
      </x:c>
      <x:c r="L22" s="19" t="str">
        <x:v>-</x:v>
      </x:c>
      <x:c r="M22" s="19" t="str">
        <x:v>-</x:v>
      </x:c>
      <x:c r="N22" s="19" t="str">
        <x:v>-</x:v>
      </x:c>
      <x:c r="O22" s="19" t="str">
        <x:v>R</x:v>
      </x:c>
      <x:c r="P22" s="19" t="str">
        <x:v>D</x:v>
      </x:c>
      <x:c r="Q22" s="19" t="str">
        <x:v>-</x:v>
      </x:c>
      <x:c r="R22" s="19" t="str">
        <x:v>-</x:v>
      </x:c>
      <x:c r="S22" s="19" t="str">
        <x:v>203; rapportstart, inte avtalsstart och inte 163</x:v>
      </x:c>
      <x:c r="T22" s="19" t="str">
        <x:v>Avser det datum som första mätaravläsning kommer att sändas in (i MSCONS/UTILTS). Anges i Z04 endast om timserier/kvartserier skickas i MSCONS/UTILTS och om datumet avviker från startdatum för avtalet. Anges i Z13 och Z14 som ”tidstämpel för påbörjande av rapportering”. Skickas i Z14 utom i Z14N.</x:v>
      </x:c>
      <x:c r="U22" s="19" t="str">
        <x:v>17</x:v>
      </x:c>
      <x:c r="V22" s="19" t="str">
        <x:v>P §2.6 s.49; §2.2 s.17</x:v>
      </x:c>
      <x:c r="W22" s="19" t="str">
        <x:v>Kompletteras av segmenttabellens datatyp/längd i annex/source_tables.json och den fulla UNSM-grammatiken; använd inte nationell R/D/O som syntax-M.</x:v>
      </x:c>
    </x:row>
    <x:row r="23" ht="64.19999694824219" customHeight="1">
      <x:c r="A23" s="19" t="str">
        <x:v>321</x:v>
      </x:c>
      <x:c r="B23" s="19" t="str">
        <x:v>Rapportslutdatum</x:v>
      </x:c>
      <x:c r="C23" s="19" t="str">
        <x:v>SG8/DTM[2005=91]/C507/2380</x:v>
      </x:c>
      <x:c r="D23" s="19" t="str">
        <x:v>object</x:v>
      </x:c>
      <x:c r="E23" s="19" t="str">
        <x:v>—</x:v>
      </x:c>
      <x:c r="F23" s="19" t="str">
        <x:v>-</x:v>
      </x:c>
      <x:c r="G23" s="19" t="str">
        <x:v>-</x:v>
      </x:c>
      <x:c r="H23" s="19" t="str">
        <x:v>-</x:v>
      </x:c>
      <x:c r="I23" s="19" t="str">
        <x:v>-</x:v>
      </x:c>
      <x:c r="J23" s="19" t="str">
        <x:v>-</x:v>
      </x:c>
      <x:c r="K23" s="19" t="str">
        <x:v>-</x:v>
      </x:c>
      <x:c r="L23" s="19" t="str">
        <x:v>-</x:v>
      </x:c>
      <x:c r="M23" s="19" t="str">
        <x:v>-</x:v>
      </x:c>
      <x:c r="N23" s="19" t="str">
        <x:v>-</x:v>
      </x:c>
      <x:c r="O23" s="19" t="str">
        <x:v>D</x:v>
      </x:c>
      <x:c r="P23" s="19" t="str">
        <x:v>D</x:v>
      </x:c>
      <x:c r="Q23" s="19" t="str">
        <x:v>-</x:v>
      </x:c>
      <x:c r="R23" s="19" t="str">
        <x:v>-</x:v>
      </x:c>
      <x:c r="S23" s="19" t="str">
        <x:v>203; rapportens sluttid, inte 164</x:v>
      </x:c>
      <x:c r="T23" s="19" t="str">
        <x:v>Avser ”tidstämpel för avslutande av rapportering”. Anges i Z13 och Z14 såvida inte rapporteringen avses ske tills vidare. Skickas ej heller i Z14N.</x:v>
      </x:c>
      <x:c r="U23" s="19" t="str">
        <x:v>17</x:v>
      </x:c>
      <x:c r="V23" s="19" t="str">
        <x:v>P §2.6 s.49; §2.2 s.17</x:v>
      </x:c>
      <x:c r="W23" s="19" t="str">
        <x:v>Kompletteras av segmenttabellens datatyp/längd i annex/source_tables.json och den fulla UNSM-grammatiken; använd inte nationell R/D/O som syntax-M.</x:v>
      </x:c>
    </x:row>
    <x:row r="24" ht="64.19999694824219" customHeight="1">
      <x:c r="A24" s="19" t="str">
        <x:v>216</x:v>
      </x:c>
      <x:c r="B24" s="19" t="str">
        <x:v>Giltighetsdatum – giltig from</x:v>
      </x:c>
      <x:c r="C24" s="19" t="str">
        <x:v>SG8/DTM[2005=157]/C507/2380</x:v>
      </x:c>
      <x:c r="D24" s="19" t="str">
        <x:v>object</x:v>
      </x:c>
      <x:c r="E24" s="19" t="str">
        <x:v>—</x:v>
      </x:c>
      <x:c r="F24" s="19" t="str">
        <x:v>-</x:v>
      </x:c>
      <x:c r="G24" s="19" t="str">
        <x:v>-</x:v>
      </x:c>
      <x:c r="H24" s="19" t="str">
        <x:v>-</x:v>
      </x:c>
      <x:c r="I24" s="19" t="str">
        <x:v>-</x:v>
      </x:c>
      <x:c r="J24" s="19" t="str">
        <x:v>-</x:v>
      </x:c>
      <x:c r="K24" s="19" t="str">
        <x:v>R</x:v>
      </x:c>
      <x:c r="L24" s="19" t="str">
        <x:v>-</x:v>
      </x:c>
      <x:c r="M24" s="19" t="str">
        <x:v>D</x:v>
      </x:c>
      <x:c r="N24" s="19" t="str">
        <x:v>R</x:v>
      </x:c>
      <x:c r="O24" s="19" t="str">
        <x:v>-</x:v>
      </x:c>
      <x:c r="P24" s="19" t="str">
        <x:v>-</x:v>
      </x:c>
      <x:c r="Q24" s="19" t="str">
        <x:v>-</x:v>
      </x:c>
      <x:c r="R24" s="19" t="str">
        <x:v>-</x:v>
      </x:c>
      <x:c r="S24" s="19" t="str">
        <x:v>203; strukturändringens giltighet</x:v>
      </x:c>
      <x:c r="T24" s="19" t="str">
        <x:v>Avser det datum när aktuell ändring börjar gälla. Z09: Obligatoriskt i Z09 utom i Z09D, då används istället fält 210 eller 211. Giltigt datum, se Handboken.</x:v>
      </x:c>
      <x:c r="U24" s="19" t="str">
        <x:v>17</x:v>
      </x:c>
      <x:c r="V24" s="19" t="str">
        <x:v>P §2.6 s.50; §2.2 s.17</x:v>
      </x:c>
      <x:c r="W24" s="19" t="str">
        <x:v>Kompletteras av segmenttabellens datatyp/längd i annex/source_tables.json och den fulla UNSM-grammatiken; använd inte nationell R/D/O som syntax-M.</x:v>
      </x:c>
    </x:row>
    <x:row r="25" ht="64.19999694824219" customHeight="1">
      <x:c r="A25" s="19" t="str">
        <x:v>212</x:v>
      </x:c>
      <x:c r="B25" s="19" t="str">
        <x:v>Datum för första mätaravläsning</x:v>
      </x:c>
      <x:c r="C25" s="19" t="str">
        <x:v>SG8/DTM[2005=51]/C507/2380</x:v>
      </x:c>
      <x:c r="D25" s="19" t="str">
        <x:v>object</x:v>
      </x:c>
      <x:c r="E25" s="19" t="str">
        <x:v>—</x:v>
      </x:c>
      <x:c r="F25" s="19" t="str">
        <x:v>-</x:v>
      </x:c>
      <x:c r="G25" s="19" t="str">
        <x:v>-</x:v>
      </x:c>
      <x:c r="H25" s="19" t="str">
        <x:v>-</x:v>
      </x:c>
      <x:c r="I25" s="19" t="str">
        <x:v>O</x:v>
      </x:c>
      <x:c r="J25" s="19" t="str">
        <x:v>-</x:v>
      </x:c>
      <x:c r="K25" s="19" t="str">
        <x:v>-</x:v>
      </x:c>
      <x:c r="L25" s="19" t="str">
        <x:v>-</x:v>
      </x:c>
      <x:c r="M25" s="19" t="str">
        <x:v>-</x:v>
      </x:c>
      <x:c r="N25" s="19" t="str">
        <x:v>-</x:v>
      </x:c>
      <x:c r="O25" s="19" t="str">
        <x:v>-</x:v>
      </x:c>
      <x:c r="P25" s="19" t="str">
        <x:v>-</x:v>
      </x:c>
      <x:c r="Q25" s="19" t="str">
        <x:v>-</x:v>
      </x:c>
      <x:c r="R25" s="19" t="str">
        <x:v>-</x:v>
      </x:c>
      <x:c r="S25" s="19" t="str">
        <x:v>Första mätaravläsning; separat från 210/302</x:v>
      </x:c>
      <x:c r="T25" s="19" t="str">
        <x:v>Avser det datum när avläsning startar.</x:v>
      </x:c>
      <x:c r="U25" s="19" t="str">
        <x:v>17</x:v>
      </x:c>
      <x:c r="V25" s="19" t="str">
        <x:v>P §2.6 s.49; §2.2 s.17</x:v>
      </x:c>
      <x:c r="W25" s="19" t="str">
        <x:v>Kompletteras av segmenttabellens datatyp/längd i annex/source_tables.json och den fulla UNSM-grammatiken; använd inte nationell R/D/O som syntax-M.</x:v>
      </x:c>
    </x:row>
    <x:row r="26" ht="78" customHeight="1">
      <x:c r="A26" s="19" t="str">
        <x:v>249</x:v>
      </x:c>
      <x:c r="B26" s="19" t="str">
        <x:v>Födelsedatum</x:v>
      </x:c>
      <x:c r="C26" s="19" t="str">
        <x:v>SG8/DTM[2005=329]/C507/2380</x:v>
      </x:c>
      <x:c r="D26" s="19" t="str">
        <x:v>object</x:v>
      </x:c>
      <x:c r="E26" s="19" t="str">
        <x:v>—</x:v>
      </x:c>
      <x:c r="F26" s="19" t="str">
        <x:v>O</x:v>
      </x:c>
      <x:c r="G26" s="19" t="str">
        <x:v>O</x:v>
      </x:c>
      <x:c r="H26" s="19" t="str">
        <x:v>O</x:v>
      </x:c>
      <x:c r="I26" s="19" t="str">
        <x:v>O</x:v>
      </x:c>
      <x:c r="J26" s="19" t="str">
        <x:v>O</x:v>
      </x:c>
      <x:c r="K26" s="19" t="str">
        <x:v>O</x:v>
      </x:c>
      <x:c r="L26" s="19" t="str">
        <x:v>O</x:v>
      </x:c>
      <x:c r="M26" s="19" t="str">
        <x:v>-</x:v>
      </x:c>
      <x:c r="N26" s="19" t="str">
        <x:v>-</x:v>
      </x:c>
      <x:c r="O26" s="19" t="str">
        <x:v>-</x:v>
      </x:c>
      <x:c r="P26" s="19" t="str">
        <x:v>-</x:v>
      </x:c>
      <x:c r="Q26" s="19" t="str">
        <x:v>-</x:v>
      </x:c>
      <x:c r="R26" s="19" t="str">
        <x:v>-</x:v>
      </x:c>
      <x:c r="S26" s="19" t="str">
        <x:v>102 CCYYMMDD; frivilligt födelsedatum, inte Z13-kund-id</x:v>
      </x:c>
      <x:c r="T26" s="19" t="str">
        <x:v>Om avsändaren känner till elanvändarens födelsedatum och använder ett annat kund-id än födelsedatum/personnummer för Elanvändaren (fält 227), bör Födelsedatum anges. Födelsedatum underlättar identifieringen hos mottagaren. Avser elanvändarens födelsedatum.</x:v>
      </x:c>
      <x:c r="U26" s="19" t="str">
        <x:v>17</x:v>
      </x:c>
      <x:c r="V26" s="19" t="str">
        <x:v>P §2.6 s.51, 80; §2.2 s.17</x:v>
      </x:c>
      <x:c r="W26" s="19" t="str">
        <x:v>Kompletteras av segmenttabellens datatyp/längd i annex/source_tables.json och den fulla UNSM-grammatiken; använd inte nationell R/D/O som syntax-M.</x:v>
      </x:c>
    </x:row>
    <x:row r="27" ht="64.19999694824219" customHeight="1">
      <x:c r="A27" s="19" t="str">
        <x:v>508</x:v>
      </x:c>
      <x:c r="B27" s="19" t="str">
        <x:v>Tidslängd (tidsperiod)</x:v>
      </x:c>
      <x:c r="C27" s="19" t="str">
        <x:v>SG8/DTM[2005=354]/C507/2380 + 2379</x:v>
      </x:c>
      <x:c r="D27" s="19" t="str">
        <x:v>object</x:v>
      </x:c>
      <x:c r="E27" s="19" t="str">
        <x:v>—</x:v>
      </x:c>
      <x:c r="F27" s="19" t="str">
        <x:v>-</x:v>
      </x:c>
      <x:c r="G27" s="19" t="str">
        <x:v>-</x:v>
      </x:c>
      <x:c r="H27" s="19" t="str">
        <x:v>-</x:v>
      </x:c>
      <x:c r="I27" s="19" t="str">
        <x:v>R</x:v>
      </x:c>
      <x:c r="J27" s="19" t="str">
        <x:v>-</x:v>
      </x:c>
      <x:c r="K27" s="19" t="str">
        <x:v>D</x:v>
      </x:c>
      <x:c r="L27" s="19" t="str">
        <x:v>-</x:v>
      </x:c>
      <x:c r="M27" s="19" t="str">
        <x:v>-</x:v>
      </x:c>
      <x:c r="N27" s="19" t="str">
        <x:v>R</x:v>
      </x:c>
      <x:c r="O27" s="19" t="str">
        <x:v>-</x:v>
      </x:c>
      <x:c r="P27" s="19" t="str">
        <x:v>D</x:v>
      </x:c>
      <x:c r="Q27" s="19" t="str">
        <x:v>-</x:v>
      </x:c>
      <x:c r="R27" s="19" t="str">
        <x:v>-</x:v>
      </x:c>
      <x:c r="S27" s="19" t="str">
        <x:v>Tidslängd och formatkod tillsammans; t.ex. 15:806,1:802,1:801 enligt aktuell profil</x:v>
      </x:c>
      <x:c r="T27" s="19" t="str">
        <x:v>Anger om nätägaren skickar kvartsvärden, timvärden, månadsvärden eller årsvärden. Z06: Obligatorisk i Z06F (transaktionstyp=E64), frivillig i Z06E och Z06G. Skickas i Z14, utom i Z14N.</x:v>
      </x:c>
      <x:c r="U27" s="19" t="str">
        <x:v>18</x:v>
      </x:c>
      <x:c r="V27" s="19" t="str">
        <x:v>P §2.6 s.51; §2.2 s.18</x:v>
      </x:c>
      <x:c r="W27" s="19" t="str">
        <x:v>Kompletteras av segmenttabellens datatyp/längd i annex/source_tables.json och den fulla UNSM-grammatiken; använd inte nationell R/D/O som syntax-M.</x:v>
      </x:c>
    </x:row>
    <x:row r="28" ht="64.19999694824219" customHeight="1">
      <x:c r="A28" s="19" t="str">
        <x:v>326</x:v>
      </x:c>
      <x:c r="B28" s="19" t="str">
        <x:v>Tillståndets tidstämpel</x:v>
      </x:c>
      <x:c r="C28" s="19" t="str">
        <x:v>SG8/DTM[2005=693]/C507/2380</x:v>
      </x:c>
      <x:c r="D28" s="19" t="str">
        <x:v>permission</x:v>
      </x:c>
      <x:c r="E28" s="19" t="str">
        <x:v>—</x:v>
      </x:c>
      <x:c r="F28" s="19" t="str">
        <x:v>-</x:v>
      </x:c>
      <x:c r="G28" s="19" t="str">
        <x:v>-</x:v>
      </x:c>
      <x:c r="H28" s="19" t="str">
        <x:v>-</x:v>
      </x:c>
      <x:c r="I28" s="19" t="str">
        <x:v>-</x:v>
      </x:c>
      <x:c r="J28" s="19" t="str">
        <x:v>-</x:v>
      </x:c>
      <x:c r="K28" s="19" t="str">
        <x:v>-</x:v>
      </x:c>
      <x:c r="L28" s="19" t="str">
        <x:v>-</x:v>
      </x:c>
      <x:c r="M28" s="19" t="str">
        <x:v>-</x:v>
      </x:c>
      <x:c r="N28" s="19" t="str">
        <x:v>-</x:v>
      </x:c>
      <x:c r="O28" s="19" t="str">
        <x:v>-</x:v>
      </x:c>
      <x:c r="P28" s="19" t="str">
        <x:v>D</x:v>
      </x:c>
      <x:c r="Q28" s="19" t="str">
        <x:v>O</x:v>
      </x:c>
      <x:c r="R28" s="19" t="str">
        <x:v>O</x:v>
      </x:c>
      <x:c r="S28" s="19" t="str">
        <x:v>203; skapandetid för tillstånd</x:v>
      </x:c>
      <x:c r="T28" s="19" t="str">
        <x:v>Anger tidstämpel för skapande av tillståndet. Skickas i Z14, utom i Z14N. Kan anges i Z15 och Z18.</x:v>
      </x:c>
      <x:c r="U28" s="19" t="str">
        <x:v>18</x:v>
      </x:c>
      <x:c r="V28" s="19" t="str">
        <x:v>P §2.6 s.52; §2.2 s.18</x:v>
      </x:c>
      <x:c r="W28" s="19" t="str">
        <x:v>Kompletteras av segmenttabellens datatyp/längd i annex/source_tables.json och den fulla UNSM-grammatiken; använd inte nationell R/D/O som syntax-M.</x:v>
      </x:c>
    </x:row>
    <x:row r="29" ht="64.19999694824219" customHeight="1">
      <x:c r="A29" s="19" t="str">
        <x:v>327</x:v>
      </x:c>
      <x:c r="B29" s="19" t="str">
        <x:v>Tjänsten/rapporteringen upphör</x:v>
      </x:c>
      <x:c r="C29" s="19" t="str">
        <x:v>SG8/DTM[2005=164]/C507/2380</x:v>
      </x:c>
      <x:c r="D29" s="19" t="str">
        <x:v>permission</x:v>
      </x:c>
      <x:c r="E29" s="19" t="str">
        <x:v>—</x:v>
      </x:c>
      <x:c r="F29" s="19" t="str">
        <x:v>-</x:v>
      </x:c>
      <x:c r="G29" s="19" t="str">
        <x:v>-</x:v>
      </x:c>
      <x:c r="H29" s="19" t="str">
        <x:v>-</x:v>
      </x:c>
      <x:c r="I29" s="19" t="str">
        <x:v>-</x:v>
      </x:c>
      <x:c r="J29" s="19" t="str">
        <x:v>-</x:v>
      </x:c>
      <x:c r="K29" s="19" t="str">
        <x:v>-</x:v>
      </x:c>
      <x:c r="L29" s="19" t="str">
        <x:v>-</x:v>
      </x:c>
      <x:c r="M29" s="19" t="str">
        <x:v>-</x:v>
      </x:c>
      <x:c r="N29" s="19" t="str">
        <x:v>-</x:v>
      </x:c>
      <x:c r="O29" s="19" t="str">
        <x:v>-</x:v>
      </x:c>
      <x:c r="P29" s="19" t="str">
        <x:v>-</x:v>
      </x:c>
      <x:c r="Q29" s="19" t="str">
        <x:v>R</x:v>
      </x:c>
      <x:c r="R29" s="19" t="str">
        <x:v>R</x:v>
      </x:c>
      <x:c r="S29" s="19" t="str">
        <x:v>203; upphörandetidpunkt, inte 273</x:v>
      </x:c>
      <x:c r="T29" s="19" t="str">
        <x:v>Anger tidpunkt när rapporteringen upphör (Z18) eller tjänsten upphör (Z15).</x:v>
      </x:c>
      <x:c r="U29" s="19" t="str">
        <x:v>18</x:v>
      </x:c>
      <x:c r="V29" s="19" t="str">
        <x:v>P §2.6 s.52; §2.2 s.18</x:v>
      </x:c>
      <x:c r="W29" s="19" t="str">
        <x:v>Kompletteras av segmenttabellens datatyp/längd i annex/source_tables.json och den fulla UNSM-grammatiken; använd inte nationell R/D/O som syntax-M.</x:v>
      </x:c>
    </x:row>
    <x:row r="30" ht="64.19999694824219" customHeight="1">
      <x:c r="A30" s="19" t="str">
        <x:v>303</x:v>
      </x:c>
      <x:c r="B30" s="19" t="str">
        <x:v>Fritext (per anläggning)</x:v>
      </x:c>
      <x:c r="C30" s="19" t="str">
        <x:v>SG8/FTX[4451=ACB]/C108/4440</x:v>
      </x:c>
      <x:c r="D30" s="19" t="str">
        <x:v>object</x:v>
      </x:c>
      <x:c r="E30" s="19" t="str">
        <x:v>—</x:v>
      </x:c>
      <x:c r="F30" s="19" t="str">
        <x:v>O</x:v>
      </x:c>
      <x:c r="G30" s="19" t="str">
        <x:v>O</x:v>
      </x:c>
      <x:c r="H30" s="19" t="str">
        <x:v>O</x:v>
      </x:c>
      <x:c r="I30" s="19" t="str">
        <x:v>O</x:v>
      </x:c>
      <x:c r="J30" s="19" t="str">
        <x:v>O</x:v>
      </x:c>
      <x:c r="K30" s="19" t="str">
        <x:v>O</x:v>
      </x:c>
      <x:c r="L30" s="19" t="str">
        <x:v>O</x:v>
      </x:c>
      <x:c r="M30" s="19" t="str">
        <x:v>-</x:v>
      </x:c>
      <x:c r="N30" s="19" t="str">
        <x:v>O</x:v>
      </x:c>
      <x:c r="O30" s="19" t="str">
        <x:v>-</x:v>
      </x:c>
      <x:c r="P30" s="19" t="str">
        <x:v>-</x:v>
      </x:c>
      <x:c r="Q30" s="19" t="str">
        <x:v>-</x:v>
      </x:c>
      <x:c r="R30" s="19" t="str">
        <x:v>-</x:v>
      </x:c>
      <x:c r="S30" s="19" t="str">
        <x:v>Fritext på objektnivå; inte generell tillståndsmetadata</x:v>
      </x:c>
      <x:c r="T30" s="19" t="str">
        <x:v>Fritext rekommenderas EJ, används endast i undantagsfall</x:v>
      </x:c>
      <x:c r="U30" s="19" t="str">
        <x:v>18</x:v>
      </x:c>
      <x:c r="V30" s="19" t="str">
        <x:v>P §2.6 s.53; §2.2 s.18</x:v>
      </x:c>
      <x:c r="W30" s="19" t="str">
        <x:v>Kompletteras av segmenttabellens datatyp/längd i annex/source_tables.json och den fulla UNSM-grammatiken; använd inte nationell R/D/O som syntax-M.</x:v>
      </x:c>
    </x:row>
    <x:row r="31" ht="64.19999694824219" customHeight="1">
      <x:c r="A31" s="19" t="str">
        <x:v>213</x:v>
      </x:c>
      <x:c r="B31" s="19" t="str">
        <x:v>Uppskattad årsenergi</x:v>
      </x:c>
      <x:c r="C31" s="19" t="str">
        <x:v>SG12/QTY[6063=31]/C186/6060</x:v>
      </x:c>
      <x:c r="D31" s="19" t="str">
        <x:v>register</x:v>
      </x:c>
      <x:c r="E31" s="19" t="str">
        <x:v>—</x:v>
      </x:c>
      <x:c r="F31" s="19" t="str">
        <x:v>-</x:v>
      </x:c>
      <x:c r="G31" s="19" t="str">
        <x:v>-</x:v>
      </x:c>
      <x:c r="H31" s="19" t="str">
        <x:v>O</x:v>
      </x:c>
      <x:c r="I31" s="19" t="str">
        <x:v>R</x:v>
      </x:c>
      <x:c r="J31" s="19" t="str">
        <x:v>-</x:v>
      </x:c>
      <x:c r="K31" s="19" t="str">
        <x:v>O</x:v>
      </x:c>
      <x:c r="L31" s="19" t="str">
        <x:v>-</x:v>
      </x:c>
      <x:c r="M31" s="19" t="str">
        <x:v>-</x:v>
      </x:c>
      <x:c r="N31" s="19" t="str">
        <x:v>O</x:v>
      </x:c>
      <x:c r="O31" s="19" t="str">
        <x:v>-</x:v>
      </x:c>
      <x:c r="P31" s="19" t="str">
        <x:v>-</x:v>
      </x:c>
      <x:c r="Q31" s="19" t="str">
        <x:v>-</x:v>
      </x:c>
      <x:c r="R31" s="19" t="str">
        <x:v>-</x:v>
      </x:c>
      <x:c r="S31" s="19" t="str">
        <x:v>Uppskattad årsenergi i hela kWh för EL</x:v>
      </x:c>
      <x:c r="T31" s="19" t="str">
        <x:v>Uppskattad årsenergi, anges i kWh (el) eller i kubikmeter (gas) utan decimaler.</x:v>
      </x:c>
      <x:c r="U31" s="19" t="str">
        <x:v>18</x:v>
      </x:c>
      <x:c r="V31" s="19" t="str">
        <x:v>P §2.6 s.54; §2.2 s.18</x:v>
      </x:c>
      <x:c r="W31" s="19" t="str">
        <x:v>Kompletteras av segmenttabellens datatyp/längd i annex/source_tables.json och den fulla UNSM-grammatiken; använd inte nationell R/D/O som syntax-M.</x:v>
      </x:c>
    </x:row>
    <x:row r="32" ht="78" customHeight="1">
      <x:c r="A32" s="19" t="str">
        <x:v>214</x:v>
      </x:c>
      <x:c r="B32" s="19" t="str">
        <x:v>Konstant för mätare</x:v>
      </x:c>
      <x:c r="C32" s="19" t="str">
        <x:v>SG14/CCI[C502/6313=Z02] → CAV/C889/7110[1]</x:v>
      </x:c>
      <x:c r="D32" s="19" t="str">
        <x:v>register</x:v>
      </x:c>
      <x:c r="E32" s="19" t="str">
        <x:v>—</x:v>
      </x:c>
      <x:c r="F32" s="19" t="str">
        <x:v>-</x:v>
      </x:c>
      <x:c r="G32" s="19" t="str">
        <x:v>-</x:v>
      </x:c>
      <x:c r="H32" s="19" t="str">
        <x:v>-</x:v>
      </x:c>
      <x:c r="I32" s="19" t="str">
        <x:v>D</x:v>
      </x:c>
      <x:c r="J32" s="19" t="str">
        <x:v>-</x:v>
      </x:c>
      <x:c r="K32" s="19" t="str">
        <x:v>D</x:v>
      </x:c>
      <x:c r="L32" s="19" t="str">
        <x:v>-</x:v>
      </x:c>
      <x:c r="M32" s="19" t="str">
        <x:v>-</x:v>
      </x:c>
      <x:c r="N32" s="19" t="str">
        <x:v>D</x:v>
      </x:c>
      <x:c r="O32" s="19" t="str">
        <x:v>-</x:v>
      </x:c>
      <x:c r="P32" s="19" t="str">
        <x:v>-</x:v>
      </x:c>
      <x:c r="Q32" s="19" t="str">
        <x:v>-</x:v>
      </x:c>
      <x:c r="R32" s="19" t="str">
        <x:v>-</x:v>
      </x:c>
      <x:c r="S32" s="19" t="str">
        <x:v>Konstant för mätare; fjärde komponenten i C889</x:v>
      </x:c>
      <x:c r="T32" s="19" t="str">
        <x:v>Tal som uppgiven mätarställning skall multipliceras med för att få värdet i rätt måttenhet, vanligen kWh. Z04, Z10: Obligatorisk om mätarställningar skickas i MSCONS/UTILTS. Z06: Obligatorisk i Z06F (transaktionstyp=E64) då mätarställningar skickas i MSCONS/UTILTS. Frivillig i Z06E och Z06G.</x:v>
      </x:c>
      <x:c r="U32" s="19" t="str">
        <x:v>18</x:v>
      </x:c>
      <x:c r="V32" s="19" t="str">
        <x:v>P §2.6 s.55; §2.2 s.18</x:v>
      </x:c>
      <x:c r="W32" s="19" t="str">
        <x:v>Kompletteras av segmenttabellens datatyp/längd i annex/source_tables.json och den fulla UNSM-grammatiken; använd inte nationell R/D/O som syntax-M.</x:v>
      </x:c>
    </x:row>
    <x:row r="33" ht="64.19999694824219" customHeight="1">
      <x:c r="A33" s="19" t="str">
        <x:v>215</x:v>
      </x:c>
      <x:c r="B33" s="19" t="str">
        <x:v>Konstant, gammal mätare</x:v>
      </x:c>
      <x:c r="C33" s="19" t="str">
        <x:v>SG14/CCI[C502/6313=Z03] → CAV/C889/7110[1]</x:v>
      </x:c>
      <x:c r="D33" s="19" t="str">
        <x:v>register</x:v>
      </x:c>
      <x:c r="E33" s="19" t="str">
        <x:v>—</x:v>
      </x:c>
      <x:c r="F33" s="19" t="str">
        <x:v>-</x:v>
      </x:c>
      <x:c r="G33" s="19" t="str">
        <x:v>-</x:v>
      </x:c>
      <x:c r="H33" s="19" t="str">
        <x:v>-</x:v>
      </x:c>
      <x:c r="I33" s="19" t="str">
        <x:v>-</x:v>
      </x:c>
      <x:c r="J33" s="19" t="str">
        <x:v>-</x:v>
      </x:c>
      <x:c r="K33" s="19" t="str">
        <x:v>-</x:v>
      </x:c>
      <x:c r="L33" s="19" t="str">
        <x:v>-</x:v>
      </x:c>
      <x:c r="M33" s="19" t="str">
        <x:v>-</x:v>
      </x:c>
      <x:c r="N33" s="19" t="str">
        <x:v>O</x:v>
      </x:c>
      <x:c r="O33" s="19" t="str">
        <x:v>-</x:v>
      </x:c>
      <x:c r="P33" s="19" t="str">
        <x:v>-</x:v>
      </x:c>
      <x:c r="Q33" s="19" t="str">
        <x:v>-</x:v>
      </x:c>
      <x:c r="R33" s="19" t="str">
        <x:v>-</x:v>
      </x:c>
      <x:c r="S33" s="19" t="str">
        <x:v>Gammal konstant; fjärde komponenten</x:v>
      </x:c>
      <x:c r="T33" s="19" t="str"/>
      <x:c r="U33" s="19" t="str">
        <x:v>18</x:v>
      </x:c>
      <x:c r="V33" s="19" t="str">
        <x:v>P §2.6 s.56; §2.2 s.18</x:v>
      </x:c>
      <x:c r="W33" s="19" t="str">
        <x:v>Kompletteras av segmenttabellens datatyp/längd i annex/source_tables.json och den fulla UNSM-grammatiken; använd inte nationell R/D/O som syntax-M.</x:v>
      </x:c>
    </x:row>
    <x:row r="34" ht="174.60000610351562" customHeight="1">
      <x:c r="A34" s="19" t="str">
        <x:v>217</x:v>
      </x:c>
      <x:c r="B34" s="19" t="str">
        <x:v>Mätmetod</x:v>
      </x:c>
      <x:c r="C34" s="19" t="str">
        <x:v>SG14/CCI[C502/6313=Z04] → CAV/C889/7111</x:v>
      </x:c>
      <x:c r="D34" s="19" t="str">
        <x:v>object</x:v>
      </x:c>
      <x:c r="E34" s="19" t="str">
        <x:v>—</x:v>
      </x:c>
      <x:c r="F34" s="19" t="str">
        <x:v>-</x:v>
      </x:c>
      <x:c r="G34" s="19" t="str">
        <x:v>R</x:v>
      </x:c>
      <x:c r="H34" s="19" t="str">
        <x:v>R</x:v>
      </x:c>
      <x:c r="I34" s="19" t="str">
        <x:v>R</x:v>
      </x:c>
      <x:c r="J34" s="19" t="str">
        <x:v>-</x:v>
      </x:c>
      <x:c r="K34" s="19" t="str">
        <x:v>D</x:v>
      </x:c>
      <x:c r="L34" s="19" t="str">
        <x:v>-</x:v>
      </x:c>
      <x:c r="M34" s="19" t="str">
        <x:v>D</x:v>
      </x:c>
      <x:c r="N34" s="19" t="str">
        <x:v>R</x:v>
      </x:c>
      <x:c r="O34" s="19" t="str">
        <x:v>R</x:v>
      </x:c>
      <x:c r="P34" s="19" t="str">
        <x:v>D</x:v>
      </x:c>
      <x:c r="Q34" s="19" t="str">
        <x:v>-</x:v>
      </x:c>
      <x:c r="R34" s="19" t="str">
        <x:v>-</x:v>
      </x:c>
      <x:c r="S34" s="19" t="str">
        <x:v>Mätmetod; detaljerat meddelande-/datumstyrt urval av Z01,Z03,Z04</x:v>
      </x:c>
      <x:c r="T34" s="19" t="str">
        <x:v>Anger om anläggningen har eller kommer få kvartsvis/timvis/månadsvis/årsvis mätning. Z03: Anger antingen om elleverantören har avtal med elanvändaren om kvartsvis mätning (kod för kvart används), eller att elleverantören låter nätägaren avgöra mätmetoden. Z06: Obligatorisk i Z06F (transaktionstyp=E64). Frivillig i Z06E och Z06G. Anger om anläggningen har timvis mätning, eller kvartsvis mätning eller ej. Z09: Obligatorisk i Z09F (kvartsvis mätning) och Z09G (nätägaren avgör). Används ej i Z09B, Z09D eller Z09E. Z13: Anger antingen om energitjänsteföretaget har avtal med elanvändaren om kvartsvis mätning eller att nätägaren får avgöra mätmetoden. Z14: Skickas i Z14 utom i Z14N.</x:v>
      </x:c>
      <x:c r="U34" s="19" t="str">
        <x:v>18; 19</x:v>
      </x:c>
      <x:c r="V34" s="19" t="str">
        <x:v>P §2.6 s.57; §2.2 s.18, 19</x:v>
      </x:c>
      <x:c r="W34" s="19" t="str">
        <x:v>Kompletteras av segmenttabellens datatyp/längd i annex/source_tables.json och den fulla UNSM-grammatiken; använd inte nationell R/D/O som syntax-M.</x:v>
      </x:c>
    </x:row>
    <x:row r="35" ht="64.19999694824219" customHeight="1">
      <x:c r="A35" s="19" t="str">
        <x:v>218</x:v>
      </x:c>
      <x:c r="B35" s="19" t="str">
        <x:v>Antal siffror, mätare</x:v>
      </x:c>
      <x:c r="C35" s="19" t="str">
        <x:v>SG14/CCI[C502/6313=Z05] → CAV/C889/7110[1]</x:v>
      </x:c>
      <x:c r="D35" s="19" t="str">
        <x:v>register</x:v>
      </x:c>
      <x:c r="E35" s="19" t="str">
        <x:v>—</x:v>
      </x:c>
      <x:c r="F35" s="19" t="str">
        <x:v>-</x:v>
      </x:c>
      <x:c r="G35" s="19" t="str">
        <x:v>-</x:v>
      </x:c>
      <x:c r="H35" s="19" t="str">
        <x:v>-</x:v>
      </x:c>
      <x:c r="I35" s="19" t="str">
        <x:v>D</x:v>
      </x:c>
      <x:c r="J35" s="19" t="str">
        <x:v>-</x:v>
      </x:c>
      <x:c r="K35" s="19" t="str">
        <x:v>D</x:v>
      </x:c>
      <x:c r="L35" s="19" t="str">
        <x:v>-</x:v>
      </x:c>
      <x:c r="M35" s="19" t="str">
        <x:v>-</x:v>
      </x:c>
      <x:c r="N35" s="19" t="str">
        <x:v>D</x:v>
      </x:c>
      <x:c r="O35" s="19" t="str">
        <x:v>-</x:v>
      </x:c>
      <x:c r="P35" s="19" t="str">
        <x:v>-</x:v>
      </x:c>
      <x:c r="Q35" s="19" t="str">
        <x:v>-</x:v>
      </x:c>
      <x:c r="R35" s="19" t="str">
        <x:v>-</x:v>
      </x:c>
      <x:c r="S35" s="19" t="str">
        <x:v>Antal heltalssiffror i mätaren; fjärde komponenten</x:v>
      </x:c>
      <x:c r="T35" s="19" t="str">
        <x:v>Antalet heltalssiffror på mätaren. Z04, Z10: Obligatorisk om mätarställningar skickas i MSCONS/UTILTS. Z06: Obligatorisk i Z06F (transaktionstyp=E64) då mätarställningar skickas i MSCONS/UTILTS. Frivillig i Z06E och Z06G.</x:v>
      </x:c>
      <x:c r="U35" s="19" t="str">
        <x:v>19</x:v>
      </x:c>
      <x:c r="V35" s="19" t="str">
        <x:v>P §2.6 s.58; §2.2 s.19</x:v>
      </x:c>
      <x:c r="W35" s="19" t="str">
        <x:v>Kompletteras av segmenttabellens datatyp/längd i annex/source_tables.json och den fulla UNSM-grammatiken; använd inte nationell R/D/O som syntax-M.</x:v>
      </x:c>
    </x:row>
    <x:row r="36" ht="64.19999694824219" customHeight="1">
      <x:c r="A36" s="19" t="str">
        <x:v>219</x:v>
      </x:c>
      <x:c r="B36" s="19" t="str">
        <x:v>Antal siffror, gammal mätare</x:v>
      </x:c>
      <x:c r="C36" s="19" t="str">
        <x:v>SG14/CCI[C502/6313=Z06] → CAV/C889/7110[1]</x:v>
      </x:c>
      <x:c r="D36" s="19" t="str">
        <x:v>register</x:v>
      </x:c>
      <x:c r="E36" s="19" t="str">
        <x:v>—</x:v>
      </x:c>
      <x:c r="F36" s="19" t="str">
        <x:v>-</x:v>
      </x:c>
      <x:c r="G36" s="19" t="str">
        <x:v>-</x:v>
      </x:c>
      <x:c r="H36" s="19" t="str">
        <x:v>-</x:v>
      </x:c>
      <x:c r="I36" s="19" t="str">
        <x:v>-</x:v>
      </x:c>
      <x:c r="J36" s="19" t="str">
        <x:v>-</x:v>
      </x:c>
      <x:c r="K36" s="19" t="str">
        <x:v>-</x:v>
      </x:c>
      <x:c r="L36" s="19" t="str">
        <x:v>-</x:v>
      </x:c>
      <x:c r="M36" s="19" t="str">
        <x:v>-</x:v>
      </x:c>
      <x:c r="N36" s="19" t="str">
        <x:v>O</x:v>
      </x:c>
      <x:c r="O36" s="19" t="str">
        <x:v>-</x:v>
      </x:c>
      <x:c r="P36" s="19" t="str">
        <x:v>-</x:v>
      </x:c>
      <x:c r="Q36" s="19" t="str">
        <x:v>-</x:v>
      </x:c>
      <x:c r="R36" s="19" t="str">
        <x:v>-</x:v>
      </x:c>
      <x:c r="S36" s="19" t="str">
        <x:v>Antal heltalssiffror gammal mätare; fjärde komponenten</x:v>
      </x:c>
      <x:c r="T36" s="19" t="str"/>
      <x:c r="U36" s="19" t="str">
        <x:v>19</x:v>
      </x:c>
      <x:c r="V36" s="19" t="str">
        <x:v>P §2.6 s.59; §2.2 s.19</x:v>
      </x:c>
      <x:c r="W36" s="19" t="str">
        <x:v>Kompletteras av segmenttabellens datatyp/längd i annex/source_tables.json och den fulla UNSM-grammatiken; använd inte nationell R/D/O som syntax-M.</x:v>
      </x:c>
    </x:row>
    <x:row r="37" ht="64.19999694824219" customHeight="1">
      <x:c r="A37" s="19" t="str">
        <x:v>306</x:v>
      </x:c>
      <x:c r="B37" s="19" t="str">
        <x:v>Installationsstatus</x:v>
      </x:c>
      <x:c r="C37" s="19" t="str">
        <x:v>SG14/CCI[C502/6313=Z07] → CAV/C889/7111</x:v>
      </x:c>
      <x:c r="D37" s="19" t="str">
        <x:v>object</x:v>
      </x:c>
      <x:c r="E37" s="19" t="str">
        <x:v>—</x:v>
      </x:c>
      <x:c r="F37" s="19" t="str">
        <x:v>-</x:v>
      </x:c>
      <x:c r="G37" s="19" t="str">
        <x:v>-</x:v>
      </x:c>
      <x:c r="H37" s="19" t="str">
        <x:v>-</x:v>
      </x:c>
      <x:c r="I37" s="19" t="str">
        <x:v>R</x:v>
      </x:c>
      <x:c r="J37" s="19" t="str">
        <x:v>-</x:v>
      </x:c>
      <x:c r="K37" s="19" t="str">
        <x:v>D</x:v>
      </x:c>
      <x:c r="L37" s="19" t="str">
        <x:v>-</x:v>
      </x:c>
      <x:c r="M37" s="19" t="str">
        <x:v>-</x:v>
      </x:c>
      <x:c r="N37" s="19" t="str">
        <x:v>-</x:v>
      </x:c>
      <x:c r="O37" s="19" t="str">
        <x:v>-</x:v>
      </x:c>
      <x:c r="P37" s="19" t="str">
        <x:v>-</x:v>
      </x:c>
      <x:c r="Q37" s="19" t="str">
        <x:v>-</x:v>
      </x:c>
      <x:c r="R37" s="19" t="str">
        <x:v>-</x:v>
      </x:c>
      <x:c r="S37" s="19" t="str">
        <x:v>Z11 ej inkopplad, Z12 aktiv; inte kundens avtalsstatus</x:v>
      </x:c>
      <x:c r="T37" s="19" t="str">
        <x:v>Anger om anläggningen är aktiv eller ej inkopplad. Z06: Obligatoriskt i Z06F (transaktionstyp=E64) och Z06G (transaktionstyp=E32). Frivillig i Z06E.</x:v>
      </x:c>
      <x:c r="U37" s="19" t="str">
        <x:v>19</x:v>
      </x:c>
      <x:c r="V37" s="19" t="str">
        <x:v>P §2.6 s.60; §2.2 s.19</x:v>
      </x:c>
      <x:c r="W37" s="19" t="str">
        <x:v>Kompletteras av segmenttabellens datatyp/längd i annex/source_tables.json och den fulla UNSM-grammatiken; använd inte nationell R/D/O som syntax-M.</x:v>
      </x:c>
    </x:row>
    <x:row r="38" ht="64.19999694824219" customHeight="1">
      <x:c r="A38" s="19" t="str">
        <x:v>307</x:v>
      </x:c>
      <x:c r="B38" s="19" t="str">
        <x:v>Tariffkod</x:v>
      </x:c>
      <x:c r="C38" s="19" t="str">
        <x:v>SG14/CCI[C502/6313=Z08] → CAV/C889/7111</x:v>
      </x:c>
      <x:c r="D38" s="19" t="str">
        <x:v>object</x:v>
      </x:c>
      <x:c r="E38" s="19" t="str">
        <x:v>—</x:v>
      </x:c>
      <x:c r="F38" s="19" t="str">
        <x:v>-</x:v>
      </x:c>
      <x:c r="G38" s="19" t="str">
        <x:v>-</x:v>
      </x:c>
      <x:c r="H38" s="19" t="str">
        <x:v>-</x:v>
      </x:c>
      <x:c r="I38" s="19" t="str">
        <x:v>O</x:v>
      </x:c>
      <x:c r="J38" s="19" t="str">
        <x:v>-</x:v>
      </x:c>
      <x:c r="K38" s="19" t="str">
        <x:v>O</x:v>
      </x:c>
      <x:c r="L38" s="19" t="str">
        <x:v>-</x:v>
      </x:c>
      <x:c r="M38" s="19" t="str">
        <x:v>-</x:v>
      </x:c>
      <x:c r="N38" s="19" t="str">
        <x:v>-</x:v>
      </x:c>
      <x:c r="O38" s="19" t="str">
        <x:v>-</x:v>
      </x:c>
      <x:c r="P38" s="19" t="str">
        <x:v>-</x:v>
      </x:c>
      <x:c r="Q38" s="19" t="str">
        <x:v>-</x:v>
      </x:c>
      <x:c r="R38" s="19" t="str">
        <x:v>-</x:v>
      </x:c>
      <x:c r="S38" s="19" t="str">
        <x:v>Tariffkod endast enligt aktuell överenskommen användning</x:v>
      </x:c>
      <x:c r="T38" s="19" t="str">
        <x:v>T ex nättariff vid samfakturering.</x:v>
      </x:c>
      <x:c r="U38" s="19" t="str">
        <x:v>19</x:v>
      </x:c>
      <x:c r="V38" s="19" t="str">
        <x:v>P §2.6 s.61; §2.2 s.19</x:v>
      </x:c>
      <x:c r="W38" s="19" t="str">
        <x:v>Kompletteras av segmenttabellens datatyp/längd i annex/source_tables.json och den fulla UNSM-grammatiken; använd inte nationell R/D/O som syntax-M.</x:v>
      </x:c>
    </x:row>
    <x:row r="39" ht="64.19999694824219" customHeight="1">
      <x:c r="A39" s="19" t="str">
        <x:v>220</x:v>
      </x:c>
      <x:c r="B39" s="19" t="str">
        <x:v>Prioritet</x:v>
      </x:c>
      <x:c r="C39" s="19" t="str">
        <x:v>SG14/CCI[C502/6313=Z09] → CAV/C889/7111</x:v>
      </x:c>
      <x:c r="D39" s="19" t="str">
        <x:v>object</x:v>
      </x:c>
      <x:c r="E39" s="19" t="str">
        <x:v>—</x:v>
      </x:c>
      <x:c r="F39" s="19" t="str">
        <x:v>-</x:v>
      </x:c>
      <x:c r="G39" s="19" t="str">
        <x:v>-</x:v>
      </x:c>
      <x:c r="H39" s="19" t="str">
        <x:v>-</x:v>
      </x:c>
      <x:c r="I39" s="19" t="str">
        <x:v>O</x:v>
      </x:c>
      <x:c r="J39" s="19" t="str">
        <x:v>-</x:v>
      </x:c>
      <x:c r="K39" s="19" t="str">
        <x:v>O</x:v>
      </x:c>
      <x:c r="L39" s="19" t="str">
        <x:v>-</x:v>
      </x:c>
      <x:c r="M39" s="19" t="str">
        <x:v>-</x:v>
      </x:c>
      <x:c r="N39" s="19" t="str">
        <x:v>-</x:v>
      </x:c>
      <x:c r="O39" s="19" t="str">
        <x:v>-</x:v>
      </x:c>
      <x:c r="P39" s="19" t="str">
        <x:v>-</x:v>
      </x:c>
      <x:c r="Q39" s="19" t="str">
        <x:v>-</x:v>
      </x:c>
      <x:c r="R39" s="19" t="str">
        <x:v>-</x:v>
      </x:c>
      <x:c r="S39" s="19" t="str">
        <x:v>Prioritet; använd segmentets egen kodlista</x:v>
      </x:c>
      <x:c r="T39" s="19" t="str">
        <x:v>Anger om anläggningen är prioriterad eller avkopplingsbar.</x:v>
      </x:c>
      <x:c r="U39" s="19" t="str">
        <x:v>19</x:v>
      </x:c>
      <x:c r="V39" s="19" t="str">
        <x:v>P §2.6 s.62; §2.2 s.19</x:v>
      </x:c>
      <x:c r="W39" s="19" t="str">
        <x:v>Kompletteras av segmenttabellens datatyp/längd i annex/source_tables.json och den fulla UNSM-grammatiken; använd inte nationell R/D/O som syntax-M.</x:v>
      </x:c>
    </x:row>
    <x:row r="40" ht="64.19999694824219" customHeight="1">
      <x:c r="A40" s="19" t="str">
        <x:v>222</x:v>
      </x:c>
      <x:c r="B40" s="19" t="str">
        <x:v>Rapporteringsfrekvens</x:v>
      </x:c>
      <x:c r="C40" s="19" t="str">
        <x:v>SG14/CCI[C502/6313=Z12] → CAV/C889/7110[1]</x:v>
      </x:c>
      <x:c r="D40" s="19" t="str">
        <x:v>object</x:v>
      </x:c>
      <x:c r="E40" s="19" t="str">
        <x:v>—</x:v>
      </x:c>
      <x:c r="F40" s="19" t="str">
        <x:v>-</x:v>
      </x:c>
      <x:c r="G40" s="19" t="str">
        <x:v>-</x:v>
      </x:c>
      <x:c r="H40" s="19" t="str">
        <x:v>-</x:v>
      </x:c>
      <x:c r="I40" s="19" t="str">
        <x:v>R</x:v>
      </x:c>
      <x:c r="J40" s="19" t="str">
        <x:v>-</x:v>
      </x:c>
      <x:c r="K40" s="19" t="str">
        <x:v>R</x:v>
      </x:c>
      <x:c r="L40" s="19" t="str">
        <x:v>-</x:v>
      </x:c>
      <x:c r="M40" s="19" t="str">
        <x:v>-</x:v>
      </x:c>
      <x:c r="N40" s="19" t="str">
        <x:v>R</x:v>
      </x:c>
      <x:c r="O40" s="19" t="str">
        <x:v>R</x:v>
      </x:c>
      <x:c r="P40" s="19" t="str">
        <x:v>D</x:v>
      </x:c>
      <x:c r="Q40" s="19" t="str">
        <x:v>-</x:v>
      </x:c>
      <x:c r="R40" s="19" t="str">
        <x:v>-</x:v>
      </x:c>
      <x:c r="S40" s="19" t="str">
        <x:v>D,W,M,Q,Y enligt användning; inte mätmetod</x:v>
      </x:c>
      <x:c r="T40" s="19" t="str">
        <x:v>Hur ofta rapportering sker (dagligen, månatligen) enligt kod. Z13, Z14: avser tidsplan för överföring. Skickas i Z14 utom i Z14N.</x:v>
      </x:c>
      <x:c r="U40" s="19" t="str">
        <x:v>19</x:v>
      </x:c>
      <x:c r="V40" s="19" t="str">
        <x:v>P §2.6 s.63; §2.2 s.19</x:v>
      </x:c>
      <x:c r="W40" s="19" t="str">
        <x:v>Kompletteras av segmenttabellens datatyp/längd i annex/source_tables.json och den fulla UNSM-grammatiken; använd inte nationell R/D/O som syntax-M.</x:v>
      </x:c>
    </x:row>
    <x:row r="41" ht="64.19999694824219" customHeight="1">
      <x:c r="A41" s="19" t="str">
        <x:v>223</x:v>
      </x:c>
      <x:c r="B41" s="19" t="str">
        <x:v>Transaktionstyp (undertyp)</x:v>
      </x:c>
      <x:c r="C41" s="19" t="str">
        <x:v>SG14/CCI[C502/6313=Z13] → CAV/C889/7111</x:v>
      </x:c>
      <x:c r="D41" s="19" t="str">
        <x:v>object</x:v>
      </x:c>
      <x:c r="E41" s="19" t="str">
        <x:v>—</x:v>
      </x:c>
      <x:c r="F41" s="19" t="str">
        <x:v>R</x:v>
      </x:c>
      <x:c r="G41" s="19" t="str">
        <x:v>R</x:v>
      </x:c>
      <x:c r="H41" s="19" t="str">
        <x:v>R</x:v>
      </x:c>
      <x:c r="I41" s="19" t="str">
        <x:v>R</x:v>
      </x:c>
      <x:c r="J41" s="19" t="str">
        <x:v>R</x:v>
      </x:c>
      <x:c r="K41" s="19" t="str">
        <x:v>R</x:v>
      </x:c>
      <x:c r="L41" s="19" t="str">
        <x:v>R</x:v>
      </x:c>
      <x:c r="M41" s="19" t="str">
        <x:v>R</x:v>
      </x:c>
      <x:c r="N41" s="19" t="str">
        <x:v>R</x:v>
      </x:c>
      <x:c r="O41" s="19" t="str">
        <x:v>R</x:v>
      </x:c>
      <x:c r="P41" s="19" t="str">
        <x:v>R</x:v>
      </x:c>
      <x:c r="Q41" s="19" t="str">
        <x:v>R</x:v>
      </x:c>
      <x:c r="R41" s="19" t="str">
        <x:v>R</x:v>
      </x:c>
      <x:c r="S41" s="19" t="str">
        <x:v>Kombination med funktion enligt meddelandefallen; E34, inte översiktens Z34</x:v>
      </x:c>
      <x:c r="T41" s="19" t="str">
        <x:v>Transaktionstyp (undertyp) enligt kod. (Giltiga koder, se SG14/CCI+Z13-CAV)</x:v>
      </x:c>
      <x:c r="U41" s="19" t="str">
        <x:v>19</x:v>
      </x:c>
      <x:c r="V41" s="19" t="str">
        <x:v>P §2.6 s.65; §2.2 s.19</x:v>
      </x:c>
      <x:c r="W41" s="19" t="str">
        <x:v>Kompletteras av segmenttabellens datatyp/längd i annex/source_tables.json och den fulla UNSM-grammatiken; använd inte nationell R/D/O som syntax-M.</x:v>
      </x:c>
    </x:row>
    <x:row r="42" ht="160.8000030517578" customHeight="1">
      <x:c r="A42" s="19" t="str">
        <x:v>259</x:v>
      </x:c>
      <x:c r="B42" s="19" t="str">
        <x:v>Mätare, tidsintervall (räkneverkskod)</x:v>
      </x:c>
      <x:c r="C42" s="19" t="str">
        <x:v>SG14/CCI[C502/6313=Z16] → CAV/C889/7110[1]</x:v>
      </x:c>
      <x:c r="D42" s="19" t="str">
        <x:v>register</x:v>
      </x:c>
      <x:c r="E42" s="19" t="str">
        <x:v>—</x:v>
      </x:c>
      <x:c r="F42" s="19" t="str">
        <x:v>-</x:v>
      </x:c>
      <x:c r="G42" s="19" t="str">
        <x:v>-</x:v>
      </x:c>
      <x:c r="H42" s="19" t="str">
        <x:v>-</x:v>
      </x:c>
      <x:c r="I42" s="19" t="str">
        <x:v>D</x:v>
      </x:c>
      <x:c r="J42" s="19" t="str">
        <x:v>-</x:v>
      </x:c>
      <x:c r="K42" s="19" t="str">
        <x:v>D</x:v>
      </x:c>
      <x:c r="L42" s="19" t="str">
        <x:v>-</x:v>
      </x:c>
      <x:c r="M42" s="19" t="str">
        <x:v>-</x:v>
      </x:c>
      <x:c r="N42" s="19" t="str">
        <x:v>D</x:v>
      </x:c>
      <x:c r="O42" s="19" t="str">
        <x:v>-</x:v>
      </x:c>
      <x:c r="P42" s="19" t="str">
        <x:v>-</x:v>
      </x:c>
      <x:c r="Q42" s="19" t="str">
        <x:v>-</x:v>
      </x:c>
      <x:c r="R42" s="19" t="str">
        <x:v>-</x:v>
      </x:c>
      <x:c r="S42" s="19" t="str">
        <x:v>Räkneverkskod; endast EL när mätarställningar rapporteras</x:v>
      </x:c>
      <x:c r="T42" s="19" t="str">
        <x:v>Kod som anger typ av tidstariff, enkeltariff eller typ av dubbeltariff. För mätare med flera register ska kod för respektive register anges. Använd Svenska kraftnäts kodlista för räkneverkskoder. Z04, Z10: Obligatorisk om mätarställningar skickas i MSCONS/UTILTS. Z06: Obligatorisk i Z06F (transaktionstyp=E64) då mätarställningar skickas i MSCONS/UTILTS. Frivillig i Z06E och Z06G. Får enbart skickas i elmarknaden då även mätarställningar skickas i UTILTS. Därmed vet mottagaren att endast om räkneverkskod anges i PRODAT så kommer mätarställningar skickas i UTILTS. För naturgasmarknaden gäller andra regler, se kapitel 2.4.5.</x:v>
      </x:c>
      <x:c r="U42" s="19" t="str">
        <x:v>19; 20</x:v>
      </x:c>
      <x:c r="V42" s="19" t="str">
        <x:v>P §2.6 s.66; §2.2 s.19, 20</x:v>
      </x:c>
      <x:c r="W42" s="19" t="str">
        <x:v>Kompletteras av segmenttabellens datatyp/längd i annex/source_tables.json och den fulla UNSM-grammatiken; använd inte nationell R/D/O som syntax-M.</x:v>
      </x:c>
    </x:row>
    <x:row r="43" ht="78" customHeight="1">
      <x:c r="A43" s="19" t="str">
        <x:v>254</x:v>
      </x:c>
      <x:c r="B43" s="19" t="str">
        <x:v>Avräkningsmetod (dygns/månads)</x:v>
      </x:c>
      <x:c r="C43" s="19" t="str">
        <x:v>SG14/CCI[C502/6313=Z15] → CAV/C889/7111</x:v>
      </x:c>
      <x:c r="D43" s="19" t="str">
        <x:v>object</x:v>
      </x:c>
      <x:c r="E43" s="19" t="str">
        <x:v>—</x:v>
      </x:c>
      <x:c r="F43" s="19" t="str">
        <x:v>-</x:v>
      </x:c>
      <x:c r="G43" s="19" t="str">
        <x:v>-</x:v>
      </x:c>
      <x:c r="H43" s="19" t="str">
        <x:v>-</x:v>
      </x:c>
      <x:c r="I43" s="19" t="str">
        <x:v>R</x:v>
      </x:c>
      <x:c r="J43" s="19" t="str">
        <x:v>-</x:v>
      </x:c>
      <x:c r="K43" s="19" t="str">
        <x:v>D</x:v>
      </x:c>
      <x:c r="L43" s="19" t="str">
        <x:v>-</x:v>
      </x:c>
      <x:c r="M43" s="19" t="str">
        <x:v>-</x:v>
      </x:c>
      <x:c r="N43" s="19" t="str">
        <x:v>D</x:v>
      </x:c>
      <x:c r="O43" s="19" t="str">
        <x:v>-</x:v>
      </x:c>
      <x:c r="P43" s="19" t="str">
        <x:v>-</x:v>
      </x:c>
      <x:c r="Q43" s="19" t="str">
        <x:v>-</x:v>
      </x:c>
      <x:c r="R43" s="19" t="str">
        <x:v>-</x:v>
      </x:c>
      <x:c r="S43" s="19" t="str">
        <x:v>Z31 månadsavräkning, Z32 dygnsavräkning</x:v>
      </x:c>
      <x:c r="T43" s="19" t="str">
        <x:v>Anger om dygnsavräkning (balansavräkning) eller månadsavräkning skall användas. Z10: Obligatorisk om avräkningsmetod har ändrats för ny mätare och/eller nya mätare är under gränsen för schablon. Z06: Obligatorisk i Z06F (transaktionstyp=E64) och Z06G (transaktionstyp=E32). Frivillig i Z06E.</x:v>
      </x:c>
      <x:c r="U43" s="19" t="str">
        <x:v>20</x:v>
      </x:c>
      <x:c r="V43" s="19" t="str">
        <x:v>P §2.6 s.67; §2.2 s.20</x:v>
      </x:c>
      <x:c r="W43" s="19" t="str">
        <x:v>Kompletteras av segmenttabellens datatyp/längd i annex/source_tables.json och den fulla UNSM-grammatiken; använd inte nationell R/D/O som syntax-M.</x:v>
      </x:c>
    </x:row>
    <x:row r="44" ht="133.1999969482422" customHeight="1">
      <x:c r="A44" s="19" t="str">
        <x:v>242</x:v>
      </x:c>
      <x:c r="B44" s="19" t="str">
        <x:v>Produktkod</x:v>
      </x:c>
      <x:c r="C44" s="19" t="str">
        <x:v>SG14/CCI[C502/6313=Z14] → CAV/C889/7110[1]</x:v>
      </x:c>
      <x:c r="D44" s="19" t="str">
        <x:v>object</x:v>
      </x:c>
      <x:c r="E44" s="19" t="str">
        <x:v>—</x:v>
      </x:c>
      <x:c r="F44" s="19" t="str">
        <x:v>-</x:v>
      </x:c>
      <x:c r="G44" s="19" t="str">
        <x:v>-</x:v>
      </x:c>
      <x:c r="H44" s="19" t="str">
        <x:v>-</x:v>
      </x:c>
      <x:c r="I44" s="19" t="str">
        <x:v>R</x:v>
      </x:c>
      <x:c r="J44" s="19" t="str">
        <x:v>-</x:v>
      </x:c>
      <x:c r="K44" s="19" t="str">
        <x:v>D</x:v>
      </x:c>
      <x:c r="L44" s="19" t="str">
        <x:v>-</x:v>
      </x:c>
      <x:c r="M44" s="19" t="str">
        <x:v>-</x:v>
      </x:c>
      <x:c r="N44" s="19" t="str">
        <x:v>D</x:v>
      </x:c>
      <x:c r="O44" s="19" t="str">
        <x:v>-</x:v>
      </x:c>
      <x:c r="P44" s="19" t="str">
        <x:v>-</x:v>
      </x:c>
      <x:c r="Q44" s="19" t="str">
        <x:v>-</x:v>
      </x:c>
      <x:c r="R44" s="19" t="str">
        <x:v>-</x:v>
      </x:c>
      <x:c r="S44" s="19" t="str">
        <x:v>L-tidsserieprodukt för aggregat, fjärde komponenten; inte generiskt energi-id</x:v>
      </x:c>
      <x:c r="T44" s="19" t="str">
        <x:v>För anläggningar i elmarknaden anges här den tidsserieprodukt vilken används när anläggningens mätvärden aggregeras på elhandelsföretagsnivå, se vidare Handboken. Z10: Endast elmarknaden. Obligatorisk om produktkoden har ändrats i samband med mätarbyte. Z06: Endast elmarknaden. Obligatorisk i Z06F (transaktionstyp=E64) och Z06G (transaktionstyp=E32). Frivillig i Z06E. För naturgasmarknaden används en av följande två koder - 6109 (för dygnsavlästa anläggningar) - 6113 (för månads- eller årsavlästa anläggningar)</x:v>
      </x:c>
      <x:c r="U44" s="19" t="str">
        <x:v>20</x:v>
      </x:c>
      <x:c r="V44" s="19" t="str">
        <x:v>P §2.6 s.68; §2.2 s.20</x:v>
      </x:c>
      <x:c r="W44" s="19" t="str">
        <x:v>Kompletteras av segmenttabellens datatyp/längd i annex/source_tables.json och den fulla UNSM-grammatiken; använd inte nationell R/D/O som syntax-M.</x:v>
      </x:c>
    </x:row>
    <x:row r="45" ht="64.19999694824219" customHeight="1">
      <x:c r="A45" s="19" t="str">
        <x:v>506</x:v>
      </x:c>
      <x:c r="B45" s="19" t="str">
        <x:v>Produkt id (Energiprodukt)</x:v>
      </x:c>
      <x:c r="C45" s="19" t="str">
        <x:v>SG14/CCI[C502/6313=Z14] → CAV/C889/7110[2]</x:v>
      </x:c>
      <x:c r="D45" s="19" t="str">
        <x:v>permission</x:v>
      </x:c>
      <x:c r="E45" s="19" t="str">
        <x:v>—</x:v>
      </x:c>
      <x:c r="F45" s="19" t="str">
        <x:v>-</x:v>
      </x:c>
      <x:c r="G45" s="19" t="str">
        <x:v>-</x:v>
      </x:c>
      <x:c r="H45" s="19" t="str">
        <x:v>-</x:v>
      </x:c>
      <x:c r="I45" s="19" t="str">
        <x:v>-</x:v>
      </x:c>
      <x:c r="J45" s="19" t="str">
        <x:v>-</x:v>
      </x:c>
      <x:c r="K45" s="19" t="str">
        <x:v>-</x:v>
      </x:c>
      <x:c r="L45" s="19" t="str">
        <x:v>-</x:v>
      </x:c>
      <x:c r="M45" s="19" t="str">
        <x:v>-</x:v>
      </x:c>
      <x:c r="N45" s="19" t="str">
        <x:v>-</x:v>
      </x:c>
      <x:c r="O45" s="19" t="str">
        <x:v>R</x:v>
      </x:c>
      <x:c r="P45" s="19" t="str">
        <x:v>D</x:v>
      </x:c>
      <x:c r="Q45" s="19" t="str">
        <x:v>-</x:v>
      </x:c>
      <x:c r="R45" s="19" t="str">
        <x:v>-</x:v>
      </x:c>
      <x:c r="S45" s="19" t="str">
        <x:v>Generiskt energi-id, femte komponenten; CAV+::::värde</x:v>
      </x:c>
      <x:c r="T45" s="19" t="str">
        <x:v>Avser ”Energiprodukt”. Anges i Z13 och Z14, utom i Z14N.</x:v>
      </x:c>
      <x:c r="U45" s="19" t="str">
        <x:v>20</x:v>
      </x:c>
      <x:c r="V45" s="19" t="str">
        <x:v>P §2.6 s.68; §2.2 s.20</x:v>
      </x:c>
      <x:c r="W45" s="19" t="str">
        <x:v>Kompletteras av segmenttabellens datatyp/längd i annex/source_tables.json och den fulla UNSM-grammatiken; använd inte nationell R/D/O som syntax-M.</x:v>
      </x:c>
    </x:row>
    <x:row r="46" ht="64.19999694824219" customHeight="1">
      <x:c r="A46" s="19" t="str">
        <x:v>310</x:v>
      </x:c>
      <x:c r="B46" s="19" t="str">
        <x:v>Kundstatus</x:v>
      </x:c>
      <x:c r="C46" s="19" t="str">
        <x:v>SG14/CCI[C502/6313=Z17] → CAV/C889/7111</x:v>
      </x:c>
      <x:c r="D46" s="19" t="str">
        <x:v>customer</x:v>
      </x:c>
      <x:c r="E46" s="19" t="str">
        <x:v>—</x:v>
      </x:c>
      <x:c r="F46" s="19" t="str">
        <x:v>-</x:v>
      </x:c>
      <x:c r="G46" s="19" t="str">
        <x:v>-</x:v>
      </x:c>
      <x:c r="H46" s="19" t="str">
        <x:v>-</x:v>
      </x:c>
      <x:c r="I46" s="19" t="str">
        <x:v>-</x:v>
      </x:c>
      <x:c r="J46" s="19" t="str">
        <x:v>D</x:v>
      </x:c>
      <x:c r="K46" s="19" t="str">
        <x:v>D</x:v>
      </x:c>
      <x:c r="L46" s="19" t="str">
        <x:v>-</x:v>
      </x:c>
      <x:c r="M46" s="19" t="str">
        <x:v>D</x:v>
      </x:c>
      <x:c r="N46" s="19" t="str">
        <x:v>-</x:v>
      </x:c>
      <x:c r="O46" s="19" t="str">
        <x:v>-</x:v>
      </x:c>
      <x:c r="P46" s="19" t="str">
        <x:v>-</x:v>
      </x:c>
      <x:c r="Q46" s="19" t="str">
        <x:v>-</x:v>
      </x:c>
      <x:c r="R46" s="19" t="str">
        <x:v>-</x:v>
      </x:c>
      <x:c r="S46" s="19" t="str">
        <x:v>Kundstatus endast enligt dödsfallsregeln; inte allmän konkursstatus</x:v>
      </x:c>
      <x:c r="T46" s="19" t="str">
        <x:v>Fältet används endast i anslutning till dödsfall. Z05: Obligatorisk då i Z05LK (transaktionstyp Z23) Z06: Obligatorisk i Z06E (transaktionstyp E34) Z09: Obligatorisk i Z09E (transaktionstyp E34)</x:v>
      </x:c>
      <x:c r="U46" s="19" t="str">
        <x:v>20; 21</x:v>
      </x:c>
      <x:c r="V46" s="19" t="str">
        <x:v>P §2.6 s.71; §2.2 s.20, 21</x:v>
      </x:c>
      <x:c r="W46" s="19" t="str">
        <x:v>Kompletteras av segmenttabellens datatyp/längd i annex/source_tables.json och den fulla UNSM-grammatiken; använd inte nationell R/D/O som syntax-M.</x:v>
      </x:c>
    </x:row>
    <x:row r="47" ht="64.19999694824219" customHeight="1">
      <x:c r="A47" s="19" t="str">
        <x:v>513</x:v>
      </x:c>
      <x:c r="B47" s="19" t="str">
        <x:v>Riktning (Typ av anläggning)</x:v>
      </x:c>
      <x:c r="C47" s="19" t="str">
        <x:v>SG14/CCI[C502/6313=Z22] → CAV/C889/7111</x:v>
      </x:c>
      <x:c r="D47" s="19" t="str">
        <x:v>permission</x:v>
      </x:c>
      <x:c r="E47" s="19" t="str">
        <x:v>—</x:v>
      </x:c>
      <x:c r="F47" s="19" t="str">
        <x:v>-</x:v>
      </x:c>
      <x:c r="G47" s="19" t="str">
        <x:v>-</x:v>
      </x:c>
      <x:c r="H47" s="19" t="str">
        <x:v>-</x:v>
      </x:c>
      <x:c r="I47" s="19" t="str">
        <x:v>-</x:v>
      </x:c>
      <x:c r="J47" s="19" t="str">
        <x:v>-</x:v>
      </x:c>
      <x:c r="K47" s="19" t="str">
        <x:v>-</x:v>
      </x:c>
      <x:c r="L47" s="19" t="str">
        <x:v>-</x:v>
      </x:c>
      <x:c r="M47" s="19" t="str">
        <x:v>-</x:v>
      </x:c>
      <x:c r="N47" s="19" t="str">
        <x:v>-</x:v>
      </x:c>
      <x:c r="O47" s="19" t="str">
        <x:v>R</x:v>
      </x:c>
      <x:c r="P47" s="19" t="str">
        <x:v>D</x:v>
      </x:c>
      <x:c r="Q47" s="19" t="str">
        <x:v>-</x:v>
      </x:c>
      <x:c r="R47" s="19" t="str">
        <x:v>-</x:v>
      </x:c>
      <x:c r="S47" s="19" t="str">
        <x:v>E17 förbrukning, E18 produktion, E19 båda; separat framtida energidelning</x:v>
      </x:c>
      <x:c r="T47" s="19" t="str">
        <x:v>Avser flödesriktning vid mätpunkten. Anges i Z13 och i Z14 (utom i Z14N).</x:v>
      </x:c>
      <x:c r="U47" s="19" t="str">
        <x:v>21</x:v>
      </x:c>
      <x:c r="V47" s="19" t="str">
        <x:v>P §2.6 s.72; §2.2 s.21</x:v>
      </x:c>
      <x:c r="W47" s="19" t="str">
        <x:v>Kompletteras av segmenttabellens datatyp/längd i annex/source_tables.json och den fulla UNSM-grammatiken; använd inte nationell R/D/O som syntax-M.</x:v>
      </x:c>
    </x:row>
    <x:row r="48" ht="64.19999694824219" customHeight="1">
      <x:c r="A48" s="19" t="str">
        <x:v>322</x:v>
      </x:c>
      <x:c r="B48" s="19" t="str">
        <x:v>Tillståndets status</x:v>
      </x:c>
      <x:c r="C48" s="19" t="str">
        <x:v>SG14/CCI[C502/6313=Z23] → CAV/C889/7111</x:v>
      </x:c>
      <x:c r="D48" s="19" t="str">
        <x:v>permission</x:v>
      </x:c>
      <x:c r="E48" s="19" t="str">
        <x:v>—</x:v>
      </x:c>
      <x:c r="F48" s="19" t="str">
        <x:v>-</x:v>
      </x:c>
      <x:c r="G48" s="19" t="str">
        <x:v>-</x:v>
      </x:c>
      <x:c r="H48" s="19" t="str">
        <x:v>-</x:v>
      </x:c>
      <x:c r="I48" s="19" t="str">
        <x:v>-</x:v>
      </x:c>
      <x:c r="J48" s="19" t="str">
        <x:v>-</x:v>
      </x:c>
      <x:c r="K48" s="19" t="str">
        <x:v>-</x:v>
      </x:c>
      <x:c r="L48" s="19" t="str">
        <x:v>-</x:v>
      </x:c>
      <x:c r="M48" s="19" t="str">
        <x:v>-</x:v>
      </x:c>
      <x:c r="N48" s="19" t="str">
        <x:v>-</x:v>
      </x:c>
      <x:c r="O48" s="19" t="str">
        <x:v>-</x:v>
      </x:c>
      <x:c r="P48" s="19" t="str">
        <x:v>R</x:v>
      </x:c>
      <x:c r="Q48" s="19" t="str">
        <x:v>R</x:v>
      </x:c>
      <x:c r="R48" s="19" t="str">
        <x:v>-</x:v>
      </x:c>
      <x:c r="S48" s="19" t="str">
        <x:v>Z14 V/VH A74; Z14N A13/A76; Z15 A74/A75 enligt händelsen</x:v>
      </x:c>
      <x:c r="T48" s="19" t="str">
        <x:v>Avser tillståndets status. Anges i Z14 och Z15</x:v>
      </x:c>
      <x:c r="U48" s="19" t="str">
        <x:v>21</x:v>
      </x:c>
      <x:c r="V48" s="19" t="str">
        <x:v>P §2.6 s.73; §2.2 s.21</x:v>
      </x:c>
      <x:c r="W48" s="19" t="str">
        <x:v>Kompletteras av segmenttabellens datatyp/längd i annex/source_tables.json och den fulla UNSM-grammatiken; använd inte nationell R/D/O som syntax-M.</x:v>
      </x:c>
    </x:row>
    <x:row r="49" ht="64.19999694824219" customHeight="1">
      <x:c r="A49" s="19" t="str">
        <x:v>323</x:v>
      </x:c>
      <x:c r="B49" s="19" t="str">
        <x:v>Tillståndets syfte</x:v>
      </x:c>
      <x:c r="C49" s="19" t="str">
        <x:v>SG14/CCI[C502/6313=Z24] → CAV/C889/7111</x:v>
      </x:c>
      <x:c r="D49" s="19" t="str">
        <x:v>permission</x:v>
      </x:c>
      <x:c r="E49" s="19" t="str">
        <x:v>—</x:v>
      </x:c>
      <x:c r="F49" s="19" t="str">
        <x:v>-</x:v>
      </x:c>
      <x:c r="G49" s="19" t="str">
        <x:v>-</x:v>
      </x:c>
      <x:c r="H49" s="19" t="str">
        <x:v>-</x:v>
      </x:c>
      <x:c r="I49" s="19" t="str">
        <x:v>-</x:v>
      </x:c>
      <x:c r="J49" s="19" t="str">
        <x:v>-</x:v>
      </x:c>
      <x:c r="K49" s="19" t="str">
        <x:v>-</x:v>
      </x:c>
      <x:c r="L49" s="19" t="str">
        <x:v>-</x:v>
      </x:c>
      <x:c r="M49" s="19" t="str">
        <x:v>-</x:v>
      </x:c>
      <x:c r="N49" s="19" t="str">
        <x:v>-</x:v>
      </x:c>
      <x:c r="O49" s="19" t="str">
        <x:v>D</x:v>
      </x:c>
      <x:c r="P49" s="19" t="str">
        <x:v>D</x:v>
      </x:c>
      <x:c r="Q49" s="19" t="str">
        <x:v>-</x:v>
      </x:c>
      <x:c r="R49" s="19" t="str">
        <x:v>-</x:v>
      </x:c>
      <x:c r="S49" s="19" t="str">
        <x:v>B71–B76; privatkundsvillkor; exempel med A02 får inte bli kodlista</x:v>
      </x:c>
      <x:c r="T49" s="19" t="str">
        <x:v>Avser tillståndets syfte. Ska anges för privatkunder i Z13 och Z14, utom i Z14N.</x:v>
      </x:c>
      <x:c r="U49" s="19" t="str">
        <x:v>21</x:v>
      </x:c>
      <x:c r="V49" s="19" t="str">
        <x:v>P §2.6 s.74; §2.2 s.21</x:v>
      </x:c>
      <x:c r="W49" s="19" t="str">
        <x:v>Kompletteras av segmenttabellens datatyp/längd i annex/source_tables.json och den fulla UNSM-grammatiken; använd inte nationell R/D/O som syntax-M.</x:v>
      </x:c>
    </x:row>
    <x:row r="50" ht="64.19999694824219" customHeight="1">
      <x:c r="A50" s="19" t="str">
        <x:v>324</x:v>
      </x:c>
      <x:c r="B50" s="19" t="str">
        <x:v>Orsak till tillståndets upphörande</x:v>
      </x:c>
      <x:c r="C50" s="19" t="str">
        <x:v>SG14/CCI[C502/6313=Z25] → CAV/C889/7111</x:v>
      </x:c>
      <x:c r="D50" s="19" t="str">
        <x:v>permission</x:v>
      </x:c>
      <x:c r="E50" s="19" t="str">
        <x:v>—</x:v>
      </x:c>
      <x:c r="F50" s="19" t="str">
        <x:v>-</x:v>
      </x:c>
      <x:c r="G50" s="19" t="str">
        <x:v>-</x:v>
      </x:c>
      <x:c r="H50" s="19" t="str">
        <x:v>-</x:v>
      </x:c>
      <x:c r="I50" s="19" t="str">
        <x:v>-</x:v>
      </x:c>
      <x:c r="J50" s="19" t="str">
        <x:v>-</x:v>
      </x:c>
      <x:c r="K50" s="19" t="str">
        <x:v>-</x:v>
      </x:c>
      <x:c r="L50" s="19" t="str">
        <x:v>-</x:v>
      </x:c>
      <x:c r="M50" s="19" t="str">
        <x:v>-</x:v>
      </x:c>
      <x:c r="N50" s="19" t="str">
        <x:v>-</x:v>
      </x:c>
      <x:c r="O50" s="19" t="str">
        <x:v>-</x:v>
      </x:c>
      <x:c r="P50" s="19" t="str">
        <x:v>-</x:v>
      </x:c>
      <x:c r="Q50" s="19" t="str">
        <x:v>R</x:v>
      </x:c>
      <x:c r="R50" s="19" t="str">
        <x:v>R</x:v>
      </x:c>
      <x:c r="S50" s="19" t="str">
        <x:v>B77,B78,B79,B80,E37 enligt orsaken</x:v>
      </x:c>
      <x:c r="T50" s="19" t="str">
        <x:v>Avser varför tillståndet upphör. Anges i Z15 och Z18,</x:v>
      </x:c>
      <x:c r="U50" s="19" t="str">
        <x:v>21</x:v>
      </x:c>
      <x:c r="V50" s="19" t="str">
        <x:v>P §2.6 s.75; §2.2 s.21</x:v>
      </x:c>
      <x:c r="W50" s="19" t="str">
        <x:v>Kompletteras av segmenttabellens datatyp/längd i annex/source_tables.json och den fulla UNSM-grammatiken; använd inte nationell R/D/O som syntax-M.</x:v>
      </x:c>
    </x:row>
    <x:row r="51" ht="64.19999694824219" customHeight="1">
      <x:c r="A51" s="19" t="str">
        <x:v>224</x:v>
      </x:c>
      <x:c r="B51" s="19" t="str">
        <x:v>Mätarnummer</x:v>
      </x:c>
      <x:c r="C51" s="19" t="str">
        <x:v>SG16/RFF[1153=MG]/C506/1154</x:v>
      </x:c>
      <x:c r="D51" s="19" t="str">
        <x:v>meter</x:v>
      </x:c>
      <x:c r="E51" s="19" t="str">
        <x:v>—</x:v>
      </x:c>
      <x:c r="F51" s="19" t="str">
        <x:v>-</x:v>
      </x:c>
      <x:c r="G51" s="19" t="str">
        <x:v>-</x:v>
      </x:c>
      <x:c r="H51" s="19" t="str">
        <x:v>-</x:v>
      </x:c>
      <x:c r="I51" s="19" t="str">
        <x:v>R</x:v>
      </x:c>
      <x:c r="J51" s="19" t="str">
        <x:v>O</x:v>
      </x:c>
      <x:c r="K51" s="19" t="str">
        <x:v>O</x:v>
      </x:c>
      <x:c r="L51" s="19" t="str">
        <x:v>O</x:v>
      </x:c>
      <x:c r="M51" s="19" t="str">
        <x:v>-</x:v>
      </x:c>
      <x:c r="N51" s="19" t="str">
        <x:v>R</x:v>
      </x:c>
      <x:c r="O51" s="19" t="str">
        <x:v>-</x:v>
      </x:c>
      <x:c r="P51" s="19" t="str">
        <x:v>-</x:v>
      </x:c>
      <x:c r="Q51" s="19" t="str">
        <x:v>-</x:v>
      </x:c>
      <x:c r="R51" s="19" t="str">
        <x:v>-</x:v>
      </x:c>
      <x:c r="S51" s="19" t="str">
        <x:v>Mätarnummer; ingen påhittad UUID-ersättning</x:v>
      </x:c>
      <x:c r="T51" s="19" t="str">
        <x:v>Mätarnummer.</x:v>
      </x:c>
      <x:c r="U51" s="19" t="str">
        <x:v>21</x:v>
      </x:c>
      <x:c r="V51" s="19" t="str">
        <x:v>P §2.6 s.76; §2.2 s.21</x:v>
      </x:c>
      <x:c r="W51" s="19" t="str">
        <x:v>Kompletteras av segmenttabellens datatyp/längd i annex/source_tables.json och den fulla UNSM-grammatiken; använd inte nationell R/D/O som syntax-M.</x:v>
      </x:c>
    </x:row>
    <x:row r="52" ht="64.19999694824219" customHeight="1">
      <x:c r="A52" s="19" t="str">
        <x:v>225</x:v>
      </x:c>
      <x:c r="B52" s="19" t="str">
        <x:v>Gammalt mätarnummer</x:v>
      </x:c>
      <x:c r="C52" s="19" t="str">
        <x:v>SG16/RFF[1153=Z02]/C506/1154</x:v>
      </x:c>
      <x:c r="D52" s="19" t="str">
        <x:v>meter</x:v>
      </x:c>
      <x:c r="E52" s="19" t="str">
        <x:v>—</x:v>
      </x:c>
      <x:c r="F52" s="19" t="str">
        <x:v>-</x:v>
      </x:c>
      <x:c r="G52" s="19" t="str">
        <x:v>-</x:v>
      </x:c>
      <x:c r="H52" s="19" t="str">
        <x:v>-</x:v>
      </x:c>
      <x:c r="I52" s="19" t="str">
        <x:v>-</x:v>
      </x:c>
      <x:c r="J52" s="19" t="str">
        <x:v>-</x:v>
      </x:c>
      <x:c r="K52" s="19" t="str">
        <x:v>-</x:v>
      </x:c>
      <x:c r="L52" s="19" t="str">
        <x:v>-</x:v>
      </x:c>
      <x:c r="M52" s="19" t="str">
        <x:v>-</x:v>
      </x:c>
      <x:c r="N52" s="19" t="str">
        <x:v>R</x:v>
      </x:c>
      <x:c r="O52" s="19" t="str">
        <x:v>-</x:v>
      </x:c>
      <x:c r="P52" s="19" t="str">
        <x:v>-</x:v>
      </x:c>
      <x:c r="Q52" s="19" t="str">
        <x:v>-</x:v>
      </x:c>
      <x:c r="R52" s="19" t="str">
        <x:v>-</x:v>
      </x:c>
      <x:c r="S52" s="19" t="str">
        <x:v>Gammalt mätarnummer, ska skilja sig från nytt i Z10</x:v>
      </x:c>
      <x:c r="T52" s="19" t="str">
        <x:v>Används vid mätarbyte.</x:v>
      </x:c>
      <x:c r="U52" s="19" t="str">
        <x:v>21</x:v>
      </x:c>
      <x:c r="V52" s="19" t="str">
        <x:v>P §2.6 s.76; §2.2 s.21</x:v>
      </x:c>
      <x:c r="W52" s="19" t="str">
        <x:v>Kompletteras av segmenttabellens datatyp/längd i annex/source_tables.json och den fulla UNSM-grammatiken; använd inte nationell R/D/O som syntax-M.</x:v>
      </x:c>
    </x:row>
    <x:row r="53" ht="64.19999694824219" customHeight="1">
      <x:c r="A53" s="19" t="str">
        <x:v>308</x:v>
      </x:c>
      <x:c r="B53" s="19" t="str">
        <x:v>Leverantörens avtalsnr</x:v>
      </x:c>
      <x:c r="C53" s="19" t="str">
        <x:v>SG16/RFF[1153=VC]/C506/1154</x:v>
      </x:c>
      <x:c r="D53" s="19" t="str">
        <x:v>object</x:v>
      </x:c>
      <x:c r="E53" s="19" t="str">
        <x:v>—</x:v>
      </x:c>
      <x:c r="F53" s="19" t="str">
        <x:v>-</x:v>
      </x:c>
      <x:c r="G53" s="19" t="str">
        <x:v>-</x:v>
      </x:c>
      <x:c r="H53" s="19" t="str">
        <x:v>O</x:v>
      </x:c>
      <x:c r="I53" s="19" t="str">
        <x:v>-</x:v>
      </x:c>
      <x:c r="J53" s="19" t="str">
        <x:v>O</x:v>
      </x:c>
      <x:c r="K53" s="19" t="str">
        <x:v>O</x:v>
      </x:c>
      <x:c r="L53" s="19" t="str">
        <x:v>O</x:v>
      </x:c>
      <x:c r="M53" s="19" t="str">
        <x:v>-</x:v>
      </x:c>
      <x:c r="N53" s="19" t="str">
        <x:v>-</x:v>
      </x:c>
      <x:c r="O53" s="19" t="str">
        <x:v>-</x:v>
      </x:c>
      <x:c r="P53" s="19" t="str">
        <x:v>-</x:v>
      </x:c>
      <x:c r="Q53" s="19" t="str">
        <x:v>-</x:v>
      </x:c>
      <x:c r="R53" s="19" t="str">
        <x:v>-</x:v>
      </x:c>
      <x:c r="S53" s="19" t="str">
        <x:v>Leverantörens kundavtalsnummer</x:v>
      </x:c>
      <x:c r="T53" s="19" t="str">
        <x:v>Avtalsnummer med elanvändaren.</x:v>
      </x:c>
      <x:c r="U53" s="19" t="str">
        <x:v>21</x:v>
      </x:c>
      <x:c r="V53" s="19" t="str">
        <x:v>P §2.6 s.76; §2.2 s.21</x:v>
      </x:c>
      <x:c r="W53" s="19" t="str">
        <x:v>Kompletteras av segmenttabellens datatyp/längd i annex/source_tables.json och den fulla UNSM-grammatiken; använd inte nationell R/D/O som syntax-M.</x:v>
      </x:c>
    </x:row>
    <x:row r="54" ht="64.19999694824219" customHeight="1">
      <x:c r="A54" s="19" t="str">
        <x:v>260</x:v>
      </x:c>
      <x:c r="B54" s="19" t="str">
        <x:v>Nätområdesid</x:v>
      </x:c>
      <x:c r="C54" s="19" t="str">
        <x:v>SG16/RFF[1153=Z05]/C506/1154</x:v>
      </x:c>
      <x:c r="D54" s="19" t="str">
        <x:v>object</x:v>
      </x:c>
      <x:c r="E54" s="19" t="str">
        <x:v>—</x:v>
      </x:c>
      <x:c r="F54" s="19" t="str">
        <x:v>R</x:v>
      </x:c>
      <x:c r="G54" s="19" t="str">
        <x:v>R</x:v>
      </x:c>
      <x:c r="H54" s="19" t="str">
        <x:v>R</x:v>
      </x:c>
      <x:c r="I54" s="19" t="str">
        <x:v>R</x:v>
      </x:c>
      <x:c r="J54" s="19" t="str">
        <x:v>R</x:v>
      </x:c>
      <x:c r="K54" s="19" t="str">
        <x:v>R</x:v>
      </x:c>
      <x:c r="L54" s="19" t="str">
        <x:v>R</x:v>
      </x:c>
      <x:c r="M54" s="19" t="str">
        <x:v>R</x:v>
      </x:c>
      <x:c r="N54" s="19" t="str">
        <x:v>R</x:v>
      </x:c>
      <x:c r="O54" s="19" t="str">
        <x:v>-</x:v>
      </x:c>
      <x:c r="P54" s="19" t="str">
        <x:v>D</x:v>
      </x:c>
      <x:c r="Q54" s="19" t="str">
        <x:v>R</x:v>
      </x:c>
      <x:c r="R54" s="19" t="str">
        <x:v>R</x:v>
      </x:c>
      <x:c r="S54" s="19" t="str">
        <x:v>Nätområdes-id; 3 tecken; inte prisområde SE1–SE4</x:v>
      </x:c>
      <x:c r="T54" s="19" t="str">
        <x:v>3-ställig nätområdeskod. Nätområdetsid skickas i Z14, utom i Z14N.</x:v>
      </x:c>
      <x:c r="U54" s="19" t="str">
        <x:v>21</x:v>
      </x:c>
      <x:c r="V54" s="19" t="str">
        <x:v>P §2.6 s.77; §2.2 s.21</x:v>
      </x:c>
      <x:c r="W54" s="19" t="str">
        <x:v>Kompletteras av segmenttabellens datatyp/längd i annex/source_tables.json och den fulla UNSM-grammatiken; använd inte nationell R/D/O som syntax-M.</x:v>
      </x:c>
    </x:row>
    <x:row r="55" ht="64.19999694824219" customHeight="1">
      <x:c r="A55" s="19" t="str">
        <x:v>320</x:v>
      </x:c>
      <x:c r="B55" s="19" t="str">
        <x:v>Värmevärdesområde</x:v>
      </x:c>
      <x:c r="C55" s="19" t="str">
        <x:v>SG16/RFF[1153=Z08]/C506/1154</x:v>
      </x:c>
      <x:c r="D55" s="19" t="str">
        <x:v>object</x:v>
      </x:c>
      <x:c r="E55" s="19" t="str">
        <x:v>—</x:v>
      </x:c>
      <x:c r="F55" s="19" t="str">
        <x:v>-</x:v>
      </x:c>
      <x:c r="G55" s="19" t="str">
        <x:v>-</x:v>
      </x:c>
      <x:c r="H55" s="19" t="str">
        <x:v>-</x:v>
      </x:c>
      <x:c r="I55" s="19" t="str">
        <x:v>D</x:v>
      </x:c>
      <x:c r="J55" s="19" t="str">
        <x:v>-</x:v>
      </x:c>
      <x:c r="K55" s="19" t="str">
        <x:v>D</x:v>
      </x:c>
      <x:c r="L55" s="19" t="str">
        <x:v>-</x:v>
      </x:c>
      <x:c r="M55" s="19" t="str">
        <x:v>-</x:v>
      </x:c>
      <x:c r="N55" s="19" t="str">
        <x:v>-</x:v>
      </x:c>
      <x:c r="O55" s="19" t="str">
        <x:v>-</x:v>
      </x:c>
      <x:c r="P55" s="19" t="str">
        <x:v>-</x:v>
      </x:c>
      <x:c r="Q55" s="19" t="str">
        <x:v>-</x:v>
      </x:c>
      <x:c r="R55" s="19" t="str">
        <x:v>-</x:v>
      </x:c>
      <x:c r="S55" s="19" t="str">
        <x:v>Endast GAS; ej produktionsaktiverat i denna EL-specifikation</x:v>
      </x:c>
      <x:c r="T55" s="19" t="str">
        <x:v>Värmevärdesområde. Används enbart i naturgasmarknaden och då med följande regler: Z04: Ska anges. Z06: Ska anges i Z06F och Z06G (ändras via Z06G). Anges ej i Z06E.</x:v>
      </x:c>
      <x:c r="U55" s="19" t="str">
        <x:v>21</x:v>
      </x:c>
      <x:c r="V55" s="19" t="str">
        <x:v>P §2.6 s.77; §2.2 s.21</x:v>
      </x:c>
      <x:c r="W55" s="19" t="str">
        <x:v>Kompletteras av segmenttabellens datatyp/längd i annex/source_tables.json och den fulla UNSM-grammatiken; använd inte nationell R/D/O som syntax-M.</x:v>
      </x:c>
    </x:row>
    <x:row r="56" ht="78" customHeight="1">
      <x:c r="A56" s="19" t="str">
        <x:v>240</x:v>
      </x:c>
      <x:c r="B56" s="19" t="str">
        <x:v>Serie-id</x:v>
      </x:c>
      <x:c r="C56" s="19" t="str">
        <x:v>SG16/RFF[1153=Z06]/C506/1154</x:v>
      </x:c>
      <x:c r="D56" s="19" t="str">
        <x:v>object</x:v>
      </x:c>
      <x:c r="E56" s="19" t="str">
        <x:v>—</x:v>
      </x:c>
      <x:c r="F56" s="19" t="str">
        <x:v>-</x:v>
      </x:c>
      <x:c r="G56" s="19" t="str">
        <x:v>-</x:v>
      </x:c>
      <x:c r="H56" s="19" t="str">
        <x:v>-</x:v>
      </x:c>
      <x:c r="I56" s="19" t="str">
        <x:v>D</x:v>
      </x:c>
      <x:c r="J56" s="19" t="str">
        <x:v>O</x:v>
      </x:c>
      <x:c r="K56" s="19" t="str">
        <x:v>D</x:v>
      </x:c>
      <x:c r="L56" s="19" t="str">
        <x:v>-</x:v>
      </x:c>
      <x:c r="M56" s="19" t="str">
        <x:v>-</x:v>
      </x:c>
      <x:c r="N56" s="19" t="str">
        <x:v>D</x:v>
      </x:c>
      <x:c r="O56" s="19" t="str">
        <x:v>-</x:v>
      </x:c>
      <x:c r="P56" s="19" t="str">
        <x:v>-</x:v>
      </x:c>
      <x:c r="Q56" s="19" t="str">
        <x:v>-</x:v>
      </x:c>
      <x:c r="R56" s="19" t="str">
        <x:v>-</x:v>
      </x:c>
      <x:c r="S56" s="19" t="str">
        <x:v>Endast GAS; ej produktionsaktiverat i denna EL-specifikation</x:v>
      </x:c>
      <x:c r="T56" s="19" t="str">
        <x:v>Fältet används endast i naturgasmarknaden och då med följande regler: Z04: Ska anges. Z06: Obligatoriskt om serie-id har ändrats pga ändringen. Obligatoriet gäller Z06F och Z06G. Frivillig i Z06E. Z10: Obligatoriskt om serie-id har ändrats pga mätarbytet.</x:v>
      </x:c>
      <x:c r="U56" s="19" t="str">
        <x:v>21</x:v>
      </x:c>
      <x:c r="V56" s="19" t="str">
        <x:v>P §2.6 s.77; §2.2 s.21</x:v>
      </x:c>
      <x:c r="W56" s="19" t="str">
        <x:v>Kompletteras av segmenttabellens datatyp/längd i annex/source_tables.json och den fulla UNSM-grammatiken; använd inte nationell R/D/O som syntax-M.</x:v>
      </x:c>
    </x:row>
    <x:row r="57" ht="64.19999694824219" customHeight="1">
      <x:c r="A57" s="19" t="str">
        <x:v>319</x:v>
      </x:c>
      <x:c r="B57" s="19" t="str">
        <x:v>Referens till anläggning</x:v>
      </x:c>
      <x:c r="C57" s="19" t="str">
        <x:v>SG16/RFF[1153=Z07]/C506/1154</x:v>
      </x:c>
      <x:c r="D57" s="19" t="str">
        <x:v>object</x:v>
      </x:c>
      <x:c r="E57" s="19" t="str">
        <x:v>—</x:v>
      </x:c>
      <x:c r="F57" s="19" t="str">
        <x:v>-</x:v>
      </x:c>
      <x:c r="G57" s="19" t="str">
        <x:v>-</x:v>
      </x:c>
      <x:c r="H57" s="19" t="str">
        <x:v>-</x:v>
      </x:c>
      <x:c r="I57" s="19" t="str">
        <x:v>D</x:v>
      </x:c>
      <x:c r="J57" s="19" t="str">
        <x:v>-</x:v>
      </x:c>
      <x:c r="K57" s="19" t="str">
        <x:v>-</x:v>
      </x:c>
      <x:c r="L57" s="19" t="str">
        <x:v>-</x:v>
      </x:c>
      <x:c r="M57" s="19" t="str">
        <x:v>-</x:v>
      </x:c>
      <x:c r="N57" s="19" t="str">
        <x:v>-</x:v>
      </x:c>
      <x:c r="O57" s="19" t="str">
        <x:v>-</x:v>
      </x:c>
      <x:c r="P57" s="19" t="str">
        <x:v>-</x:v>
      </x:c>
      <x:c r="Q57" s="19" t="str">
        <x:v>-</x:v>
      </x:c>
      <x:c r="R57" s="19" t="str">
        <x:v>-</x:v>
      </x:c>
      <x:c r="S57" s="19" t="str">
        <x:v>Förbrukningsanläggning kopplad till Z04D-produktionsanläggningen</x:v>
      </x:c>
      <x:c r="T57" s="19" t="str">
        <x:v>Nätägarens identitet på förbrukningsanläggningen knuten till produktionsanläggningen angiven i fält 209. Z04: Obligatorisk i Z04D (transaktionstyp Z70)</x:v>
      </x:c>
      <x:c r="U57" s="19" t="str">
        <x:v>21</x:v>
      </x:c>
      <x:c r="V57" s="19" t="str">
        <x:v>P §2.6 s.78; §2.2 s.21</x:v>
      </x:c>
      <x:c r="W57" s="19" t="str">
        <x:v>Kompletteras av segmenttabellens datatyp/längd i annex/source_tables.json och den fulla UNSM-grammatiken; använd inte nationell R/D/O som syntax-M.</x:v>
      </x:c>
    </x:row>
    <x:row r="58" ht="64.19999694824219" customHeight="1">
      <x:c r="A58" s="19" t="str">
        <x:v>261</x:v>
      </x:c>
      <x:c r="B58" s="19" t="str">
        <x:v>Referens till avtal/fullmakt</x:v>
      </x:c>
      <x:c r="C58" s="19" t="str">
        <x:v>SG16/RFF[1153=ANJ]/C506/1154</x:v>
      </x:c>
      <x:c r="D58" s="19" t="str">
        <x:v>object_or_request</x:v>
      </x:c>
      <x:c r="E58" s="19" t="str">
        <x:v>—</x:v>
      </x:c>
      <x:c r="F58" s="19" t="str">
        <x:v>R</x:v>
      </x:c>
      <x:c r="G58" s="19" t="str">
        <x:v>-</x:v>
      </x:c>
      <x:c r="H58" s="19" t="str">
        <x:v>R</x:v>
      </x:c>
      <x:c r="I58" s="19" t="str">
        <x:v>-</x:v>
      </x:c>
      <x:c r="J58" s="19" t="str">
        <x:v>-</x:v>
      </x:c>
      <x:c r="K58" s="19" t="str">
        <x:v>-</x:v>
      </x:c>
      <x:c r="L58" s="19" t="str">
        <x:v>-</x:v>
      </x:c>
      <x:c r="M58" s="19" t="str">
        <x:v>-</x:v>
      </x:c>
      <x:c r="N58" s="19" t="str">
        <x:v>-</x:v>
      </x:c>
      <x:c r="O58" s="19" t="str">
        <x:v>R</x:v>
      </x:c>
      <x:c r="P58" s="19" t="str">
        <x:v>-</x:v>
      </x:c>
      <x:c r="Q58" s="19" t="str">
        <x:v>-</x:v>
      </x:c>
      <x:c r="R58" s="19" t="str">
        <x:v>-</x:v>
      </x:c>
      <x:c r="S58" s="19" t="str">
        <x:v>Referens till slutkundens avtal/fullmakt</x:v>
      </x:c>
      <x:c r="T58" s="19" t="str">
        <x:v>Avser referens till avtal/fullmakt med elanvändaren (slutkunden).</x:v>
      </x:c>
      <x:c r="U58" s="19" t="str">
        <x:v>22</x:v>
      </x:c>
      <x:c r="V58" s="19" t="str">
        <x:v>P §2.6 s.78; §2.2 s.22</x:v>
      </x:c>
      <x:c r="W58" s="19" t="str">
        <x:v>Kompletteras av segmenttabellens datatyp/längd i annex/source_tables.json och den fulla UNSM-grammatiken; använd inte nationell R/D/O som syntax-M.</x:v>
      </x:c>
    </x:row>
    <x:row r="59" ht="64.19999694824219" customHeight="1">
      <x:c r="A59" s="19" t="str">
        <x:v>226</x:v>
      </x:c>
      <x:c r="B59" s="19" t="str">
        <x:v>Ärendereferens</x:v>
      </x:c>
      <x:c r="C59" s="19" t="str">
        <x:v>SG16/RFF[1153=LI]/C506/1154</x:v>
      </x:c>
      <x:c r="D59" s="19" t="str">
        <x:v>object_or_request</x:v>
      </x:c>
      <x:c r="E59" s="19" t="str">
        <x:v>—</x:v>
      </x:c>
      <x:c r="F59" s="19" t="str">
        <x:v>R</x:v>
      </x:c>
      <x:c r="G59" s="19" t="str">
        <x:v>R</x:v>
      </x:c>
      <x:c r="H59" s="19" t="str">
        <x:v>R</x:v>
      </x:c>
      <x:c r="I59" s="19" t="str">
        <x:v>R</x:v>
      </x:c>
      <x:c r="J59" s="19" t="str">
        <x:v>R</x:v>
      </x:c>
      <x:c r="K59" s="19" t="str">
        <x:v>R</x:v>
      </x:c>
      <x:c r="L59" s="19" t="str">
        <x:v>R</x:v>
      </x:c>
      <x:c r="M59" s="19" t="str">
        <x:v>R</x:v>
      </x:c>
      <x:c r="N59" s="19" t="str">
        <x:v>R</x:v>
      </x:c>
      <x:c r="O59" s="19" t="str">
        <x:v>R</x:v>
      </x:c>
      <x:c r="P59" s="19" t="str">
        <x:v>R</x:v>
      </x:c>
      <x:c r="Q59" s="19" t="str">
        <x:v>R</x:v>
      </x:c>
      <x:c r="R59" s="19" t="str">
        <x:v>R</x:v>
      </x:c>
      <x:c r="S59" s="19" t="str">
        <x:v>Ärendereferens; inte global tenantnyckel; korrelation enligt tabellen</x:v>
      </x:c>
      <x:c r="T59" s="19" t="str">
        <x:v>Unik referens mellan ärenden, t ex Z03 - Z04.</x:v>
      </x:c>
      <x:c r="U59" s="19" t="str">
        <x:v>22</x:v>
      </x:c>
      <x:c r="V59" s="19" t="str">
        <x:v>P §2.6 s.78; §2.2 s.22</x:v>
      </x:c>
      <x:c r="W59" s="19" t="str">
        <x:v>Kompletteras av segmenttabellens datatyp/längd i annex/source_tables.json och den fulla UNSM-grammatiken; använd inte nationell R/D/O som syntax-M.</x:v>
      </x:c>
    </x:row>
    <x:row r="60" ht="64.19999694824219" customHeight="1">
      <x:c r="A60" s="19" t="str">
        <x:v>325</x:v>
      </x:c>
      <x:c r="B60" s="19" t="str">
        <x:v>Tillståndets id</x:v>
      </x:c>
      <x:c r="C60" s="19" t="str">
        <x:v>SG16/RFF[1153=Z09]/C506/1154</x:v>
      </x:c>
      <x:c r="D60" s="19" t="str">
        <x:v>permission</x:v>
      </x:c>
      <x:c r="E60" s="19" t="str">
        <x:v>—</x:v>
      </x:c>
      <x:c r="F60" s="19" t="str">
        <x:v>-</x:v>
      </x:c>
      <x:c r="G60" s="19" t="str">
        <x:v>-</x:v>
      </x:c>
      <x:c r="H60" s="19" t="str">
        <x:v>-</x:v>
      </x:c>
      <x:c r="I60" s="19" t="str">
        <x:v>-</x:v>
      </x:c>
      <x:c r="J60" s="19" t="str">
        <x:v>-</x:v>
      </x:c>
      <x:c r="K60" s="19" t="str">
        <x:v>-</x:v>
      </x:c>
      <x:c r="L60" s="19" t="str">
        <x:v>-</x:v>
      </x:c>
      <x:c r="M60" s="19" t="str">
        <x:v>-</x:v>
      </x:c>
      <x:c r="N60" s="19" t="str">
        <x:v>-</x:v>
      </x:c>
      <x:c r="O60" s="19" t="str">
        <x:v>-</x:v>
      </x:c>
      <x:c r="P60" s="19" t="str">
        <x:v>D</x:v>
      </x:c>
      <x:c r="Q60" s="19" t="str">
        <x:v>R</x:v>
      </x:c>
      <x:c r="R60" s="19" t="str">
        <x:v>R</x:v>
      </x:c>
      <x:c r="S60" s="19" t="str">
        <x:v>Tillstånds-id; känt för Z15/Z18, tilldelas genom Z14</x:v>
      </x:c>
      <x:c r="T60" s="19" t="str">
        <x:v>Identifieringskod för tillståndet. Tillståndets id skickas ej i Z14N.</x:v>
      </x:c>
      <x:c r="U60" s="19" t="str">
        <x:v>22</x:v>
      </x:c>
      <x:c r="V60" s="19" t="str">
        <x:v>P §2.6 s.78; §2.2 s.22</x:v>
      </x:c>
      <x:c r="W60" s="19" t="str">
        <x:v>Kompletteras av segmenttabellens datatyp/längd i annex/source_tables.json och den fulla UNSM-grammatiken; använd inte nationell R/D/O som syntax-M.</x:v>
      </x:c>
    </x:row>
    <x:row r="61" ht="64.19999694824219" customHeight="1">
      <x:c r="A61" s="19" t="str">
        <x:v>227</x:v>
      </x:c>
      <x:c r="B61" s="19" t="str">
        <x:v>Kund-id</x:v>
      </x:c>
      <x:c r="C61" s="19" t="str">
        <x:v>SG17/NAD[3035=UD]/C082/3039</x:v>
      </x:c>
      <x:c r="D61" s="19" t="str">
        <x:v>customer</x:v>
      </x:c>
      <x:c r="E61" s="19" t="str">
        <x:v>UD</x:v>
      </x:c>
      <x:c r="F61" s="19" t="str">
        <x:v>R</x:v>
      </x:c>
      <x:c r="G61" s="19" t="str">
        <x:v>R</x:v>
      </x:c>
      <x:c r="H61" s="19" t="str">
        <x:v>R</x:v>
      </x:c>
      <x:c r="I61" s="19" t="str">
        <x:v>R</x:v>
      </x:c>
      <x:c r="J61" s="19" t="str">
        <x:v>R</x:v>
      </x:c>
      <x:c r="K61" s="19" t="str">
        <x:v>D</x:v>
      </x:c>
      <x:c r="L61" s="19" t="str">
        <x:v>R</x:v>
      </x:c>
      <x:c r="M61" s="19" t="str">
        <x:v>D</x:v>
      </x:c>
      <x:c r="N61" s="19" t="str">
        <x:v>-</x:v>
      </x:c>
      <x:c r="O61" s="19" t="str">
        <x:v>R</x:v>
      </x:c>
      <x:c r="P61" s="19" t="str">
        <x:v>D</x:v>
      </x:c>
      <x:c r="Q61" s="19" t="str">
        <x:v>R</x:v>
      </x:c>
      <x:c r="R61" s="19" t="str">
        <x:v>R</x:v>
      </x:c>
      <x:c r="S61" s="19" t="str">
        <x:v>SE1 organisationsnummer/SE2 personnummer; ansvarig 260; födelsedatum som id ej Z13</x:v>
      </x:c>
      <x:c r="T61" s="19" t="str"/>
      <x:c r="U61" s="19" t="str">
        <x:v>22</x:v>
      </x:c>
      <x:c r="V61" s="19" t="str">
        <x:v>P §2.6 s.79; §2.2 s.22</x:v>
      </x:c>
      <x:c r="W61" s="19" t="str">
        <x:v>Kompletteras av segmenttabellens datatyp/längd i annex/source_tables.json och den fulla UNSM-grammatiken; använd inte nationell R/D/O som syntax-M.</x:v>
      </x:c>
    </x:row>
    <x:row r="62" ht="64.19999694824219" customHeight="1">
      <x:c r="A62" s="19" t="str">
        <x:v>228</x:v>
      </x:c>
      <x:c r="B62" s="19" t="str">
        <x:v>Namn-elanvändare</x:v>
      </x:c>
      <x:c r="C62" s="19" t="str">
        <x:v>SG17/NAD[3035=UD]/C080/3036[1..2]</x:v>
      </x:c>
      <x:c r="D62" s="19" t="str">
        <x:v>customer</x:v>
      </x:c>
      <x:c r="E62" s="19" t="str">
        <x:v>UD</x:v>
      </x:c>
      <x:c r="F62" s="19" t="str">
        <x:v>R</x:v>
      </x:c>
      <x:c r="G62" s="19" t="str">
        <x:v>R</x:v>
      </x:c>
      <x:c r="H62" s="19" t="str">
        <x:v>R</x:v>
      </x:c>
      <x:c r="I62" s="19" t="str">
        <x:v>R</x:v>
      </x:c>
      <x:c r="J62" s="19" t="str">
        <x:v>R</x:v>
      </x:c>
      <x:c r="K62" s="19" t="str">
        <x:v>D</x:v>
      </x:c>
      <x:c r="L62" s="19" t="str">
        <x:v>R</x:v>
      </x:c>
      <x:c r="M62" s="19" t="str">
        <x:v>D</x:v>
      </x:c>
      <x:c r="N62" s="19" t="str">
        <x:v>-</x:v>
      </x:c>
      <x:c r="O62" s="19" t="str">
        <x:v>R</x:v>
      </x:c>
      <x:c r="P62" s="19" t="str">
        <x:v>D</x:v>
      </x:c>
      <x:c r="Q62" s="19" t="str">
        <x:v>R</x:v>
      </x:c>
      <x:c r="R62" s="19" t="str">
        <x:v>R</x:v>
      </x:c>
      <x:c r="S62" s="19" t="str">
        <x:v>Namn i separata komponenter, 1–2 rader</x:v>
      </x:c>
      <x:c r="T62" s="19" t="str">
        <x:v>1-2 rader.</x:v>
      </x:c>
      <x:c r="U62" s="19" t="str">
        <x:v>22</x:v>
      </x:c>
      <x:c r="V62" s="19" t="str">
        <x:v>P §2.6 s.79; §2.2 s.22</x:v>
      </x:c>
      <x:c r="W62" s="19" t="str">
        <x:v>Kompletteras av segmenttabellens datatyp/längd i annex/source_tables.json och den fulla UNSM-grammatiken; använd inte nationell R/D/O som syntax-M.</x:v>
      </x:c>
    </x:row>
    <x:row r="63" ht="64.19999694824219" customHeight="1">
      <x:c r="A63" s="19" t="str">
        <x:v>229</x:v>
      </x:c>
      <x:c r="B63" s="19" t="str">
        <x:v>Adress-elanvändare</x:v>
      </x:c>
      <x:c r="C63" s="19" t="str">
        <x:v>SG17/NAD[3035=UD]/C059/3042[1..3]</x:v>
      </x:c>
      <x:c r="D63" s="19" t="str">
        <x:v>customer</x:v>
      </x:c>
      <x:c r="E63" s="19" t="str">
        <x:v>UD</x:v>
      </x:c>
      <x:c r="F63" s="19" t="str">
        <x:v>D</x:v>
      </x:c>
      <x:c r="G63" s="19" t="str">
        <x:v>D</x:v>
      </x:c>
      <x:c r="H63" s="19" t="str">
        <x:v>D</x:v>
      </x:c>
      <x:c r="I63" s="19" t="str">
        <x:v>D</x:v>
      </x:c>
      <x:c r="J63" s="19" t="str">
        <x:v>D</x:v>
      </x:c>
      <x:c r="K63" s="19" t="str">
        <x:v>D</x:v>
      </x:c>
      <x:c r="L63" s="19" t="str">
        <x:v>D</x:v>
      </x:c>
      <x:c r="M63" s="19" t="str">
        <x:v>D</x:v>
      </x:c>
      <x:c r="N63" s="19" t="str">
        <x:v>-</x:v>
      </x:c>
      <x:c r="O63" s="19" t="str">
        <x:v>-</x:v>
      </x:c>
      <x:c r="P63" s="19" t="str">
        <x:v>-</x:v>
      </x:c>
      <x:c r="Q63" s="19" t="str">
        <x:v>-</x:v>
      </x:c>
      <x:c r="R63" s="19" t="str">
        <x:v>-</x:v>
      </x:c>
      <x:c r="S63" s="19" t="str">
        <x:v>Gatuadress 1–3 komponenter; ej Z13/Z14/Z15/Z18</x:v>
      </x:c>
      <x:c r="T63" s="19" t="str">
        <x:v>1-3 rader. När elanvändaren anges ska adressen fyllas i om den finns. Adressuppgifter anges ej i Z13, Z14, Z15 och Z18.</x:v>
      </x:c>
      <x:c r="U63" s="19" t="str">
        <x:v>22</x:v>
      </x:c>
      <x:c r="V63" s="19" t="str">
        <x:v>P §2.6 s.79; §2.2 s.22</x:v>
      </x:c>
      <x:c r="W63" s="19" t="str">
        <x:v>Kompletteras av segmenttabellens datatyp/längd i annex/source_tables.json och den fulla UNSM-grammatiken; använd inte nationell R/D/O som syntax-M.</x:v>
      </x:c>
    </x:row>
    <x:row r="64" ht="64.19999694824219" customHeight="1">
      <x:c r="A64" s="19" t="str">
        <x:v>231</x:v>
      </x:c>
      <x:c r="B64" s="19" t="str">
        <x:v>Postnr-elanvändare</x:v>
      </x:c>
      <x:c r="C64" s="19" t="str">
        <x:v>SG17/NAD[3035=UD]/3251</x:v>
      </x:c>
      <x:c r="D64" s="19" t="str">
        <x:v>customer</x:v>
      </x:c>
      <x:c r="E64" s="19" t="str">
        <x:v>UD</x:v>
      </x:c>
      <x:c r="F64" s="19" t="str">
        <x:v>R</x:v>
      </x:c>
      <x:c r="G64" s="19" t="str">
        <x:v>R</x:v>
      </x:c>
      <x:c r="H64" s="19" t="str">
        <x:v>R</x:v>
      </x:c>
      <x:c r="I64" s="19" t="str">
        <x:v>R</x:v>
      </x:c>
      <x:c r="J64" s="19" t="str">
        <x:v>R</x:v>
      </x:c>
      <x:c r="K64" s="19" t="str">
        <x:v>D</x:v>
      </x:c>
      <x:c r="L64" s="19" t="str">
        <x:v>R</x:v>
      </x:c>
      <x:c r="M64" s="19" t="str">
        <x:v>D</x:v>
      </x:c>
      <x:c r="N64" s="19" t="str">
        <x:v>-</x:v>
      </x:c>
      <x:c r="O64" s="19" t="str">
        <x:v>-</x:v>
      </x:c>
      <x:c r="P64" s="19" t="str">
        <x:v>-</x:v>
      </x:c>
      <x:c r="Q64" s="19" t="str">
        <x:v>-</x:v>
      </x:c>
      <x:c r="R64" s="19" t="str">
        <x:v>-</x:v>
      </x:c>
      <x:c r="S64" s="19" t="str">
        <x:v>Postnummer, behåll inledande nollor</x:v>
      </x:c>
      <x:c r="T64" s="19" t="str"/>
      <x:c r="U64" s="19" t="str">
        <x:v>22</x:v>
      </x:c>
      <x:c r="V64" s="19" t="str">
        <x:v>P §2.6 s.79; §2.2 s.22</x:v>
      </x:c>
      <x:c r="W64" s="19" t="str">
        <x:v>Kompletteras av segmenttabellens datatyp/längd i annex/source_tables.json och den fulla UNSM-grammatiken; använd inte nationell R/D/O som syntax-M.</x:v>
      </x:c>
    </x:row>
    <x:row r="65" ht="64.19999694824219" customHeight="1">
      <x:c r="A65" s="19" t="str">
        <x:v>232</x:v>
      </x:c>
      <x:c r="B65" s="19" t="str">
        <x:v>Postort-elanvändare</x:v>
      </x:c>
      <x:c r="C65" s="19" t="str">
        <x:v>SG17/NAD[3035=UD]/3164</x:v>
      </x:c>
      <x:c r="D65" s="19" t="str">
        <x:v>customer</x:v>
      </x:c>
      <x:c r="E65" s="19" t="str">
        <x:v>UD</x:v>
      </x:c>
      <x:c r="F65" s="19" t="str">
        <x:v>R</x:v>
      </x:c>
      <x:c r="G65" s="19" t="str">
        <x:v>R</x:v>
      </x:c>
      <x:c r="H65" s="19" t="str">
        <x:v>R</x:v>
      </x:c>
      <x:c r="I65" s="19" t="str">
        <x:v>R</x:v>
      </x:c>
      <x:c r="J65" s="19" t="str">
        <x:v>R</x:v>
      </x:c>
      <x:c r="K65" s="19" t="str">
        <x:v>D</x:v>
      </x:c>
      <x:c r="L65" s="19" t="str">
        <x:v>R</x:v>
      </x:c>
      <x:c r="M65" s="19" t="str">
        <x:v>D</x:v>
      </x:c>
      <x:c r="N65" s="19" t="str">
        <x:v>-</x:v>
      </x:c>
      <x:c r="O65" s="19" t="str">
        <x:v>-</x:v>
      </x:c>
      <x:c r="P65" s="19" t="str">
        <x:v>-</x:v>
      </x:c>
      <x:c r="Q65" s="19" t="str">
        <x:v>-</x:v>
      </x:c>
      <x:c r="R65" s="19" t="str">
        <x:v>-</x:v>
      </x:c>
      <x:c r="S65" s="19" t="str">
        <x:v>Postort; inte samma fält som anläggningsort</x:v>
      </x:c>
      <x:c r="T65" s="19" t="str"/>
      <x:c r="U65" s="19" t="str">
        <x:v>22</x:v>
      </x:c>
      <x:c r="V65" s="19" t="str">
        <x:v>P §2.6 s.79; §2.2 s.22</x:v>
      </x:c>
      <x:c r="W65" s="19" t="str">
        <x:v>Kompletteras av segmenttabellens datatyp/längd i annex/source_tables.json och den fulla UNSM-grammatiken; använd inte nationell R/D/O som syntax-M.</x:v>
      </x:c>
    </x:row>
    <x:row r="66" ht="64.19999694824219" customHeight="1">
      <x:c r="A66" s="19" t="str">
        <x:v>316</x:v>
      </x:c>
      <x:c r="B66" s="19" t="str">
        <x:v>Land-elanvändare</x:v>
      </x:c>
      <x:c r="C66" s="19" t="str">
        <x:v>SG17/NAD[3035=UD]/3207</x:v>
      </x:c>
      <x:c r="D66" s="19" t="str">
        <x:v>customer</x:v>
      </x:c>
      <x:c r="E66" s="19" t="str">
        <x:v>UD</x:v>
      </x:c>
      <x:c r="F66" s="19" t="str">
        <x:v>R</x:v>
      </x:c>
      <x:c r="G66" s="19" t="str">
        <x:v>R</x:v>
      </x:c>
      <x:c r="H66" s="19" t="str">
        <x:v>R</x:v>
      </x:c>
      <x:c r="I66" s="19" t="str">
        <x:v>R</x:v>
      </x:c>
      <x:c r="J66" s="19" t="str">
        <x:v>R</x:v>
      </x:c>
      <x:c r="K66" s="19" t="str">
        <x:v>D</x:v>
      </x:c>
      <x:c r="L66" s="19" t="str">
        <x:v>R</x:v>
      </x:c>
      <x:c r="M66" s="19" t="str">
        <x:v>D</x:v>
      </x:c>
      <x:c r="N66" s="19" t="str">
        <x:v>-</x:v>
      </x:c>
      <x:c r="O66" s="19" t="str">
        <x:v>R</x:v>
      </x:c>
      <x:c r="P66" s="19" t="str">
        <x:v>R</x:v>
      </x:c>
      <x:c r="Q66" s="19" t="str">
        <x:v>R</x:v>
      </x:c>
      <x:c r="R66" s="19" t="str">
        <x:v>R</x:v>
      </x:c>
      <x:c r="S66" s="19" t="str">
        <x:v>Landskod; krav är underordnat NAD+UD-gruppens tillämplighet</x:v>
      </x:c>
      <x:c r="T66" s="19" t="str"/>
      <x:c r="U66" s="19" t="str">
        <x:v>22</x:v>
      </x:c>
      <x:c r="V66" s="19" t="str">
        <x:v>P §2.6 s.79; §2.2 s.22</x:v>
      </x:c>
      <x:c r="W66" s="19" t="str">
        <x:v>Kompletteras av segmenttabellens datatyp/längd i annex/source_tables.json och den fulla UNSM-grammatiken; använd inte nationell R/D/O som syntax-M.</x:v>
      </x:c>
    </x:row>
    <x:row r="67" ht="64.19999694824219" customHeight="1">
      <x:c r="A67" s="19" t="str">
        <x:v>233</x:v>
      </x:c>
      <x:c r="B67" s="19" t="str">
        <x:v>Anläggnings-id</x:v>
      </x:c>
      <x:c r="C67" s="19" t="str">
        <x:v>SG17/NAD[3035=IT]/C082/3039</x:v>
      </x:c>
      <x:c r="D67" s="19" t="str">
        <x:v>installation</x:v>
      </x:c>
      <x:c r="E67" s="19" t="str">
        <x:v>IT</x:v>
      </x:c>
      <x:c r="F67" s="19" t="str">
        <x:v>D</x:v>
      </x:c>
      <x:c r="G67" s="19" t="str">
        <x:v>R</x:v>
      </x:c>
      <x:c r="H67" s="19" t="str">
        <x:v>D</x:v>
      </x:c>
      <x:c r="I67" s="19" t="str">
        <x:v>R</x:v>
      </x:c>
      <x:c r="J67" s="19" t="str">
        <x:v>R</x:v>
      </x:c>
      <x:c r="K67" s="19" t="str">
        <x:v>R</x:v>
      </x:c>
      <x:c r="L67" s="19" t="str">
        <x:v>D</x:v>
      </x:c>
      <x:c r="M67" s="19" t="str">
        <x:v>-</x:v>
      </x:c>
      <x:c r="N67" s="19" t="str">
        <x:v>-</x:v>
      </x:c>
      <x:c r="O67" s="19" t="str">
        <x:v>-</x:v>
      </x:c>
      <x:c r="P67" s="19" t="str">
        <x:v>R</x:v>
      </x:c>
      <x:c r="Q67" s="19" t="str">
        <x:v>-</x:v>
      </x:c>
      <x:c r="R67" s="19" t="str">
        <x:v>-</x:v>
      </x:c>
      <x:c r="S67" s="19" t="str">
        <x:v>Samma faktiska identitet som 209 när IT anges</x:v>
      </x:c>
      <x:c r="T67" s="19" t="str">
        <x:v>När anläggning skickas, anges alltid samma värde som 209.</x:v>
      </x:c>
      <x:c r="U67" s="19" t="str">
        <x:v>22</x:v>
      </x:c>
      <x:c r="V67" s="19" t="str">
        <x:v>P §2.6 s.81; §2.2 s.22</x:v>
      </x:c>
      <x:c r="W67" s="19" t="str">
        <x:v>Kompletteras av segmenttabellens datatyp/längd i annex/source_tables.json och den fulla UNSM-grammatiken; använd inte nationell R/D/O som syntax-M.</x:v>
      </x:c>
    </x:row>
    <x:row r="68" ht="64.19999694824219" customHeight="1">
      <x:c r="A68" s="19" t="str">
        <x:v>234</x:v>
      </x:c>
      <x:c r="B68" s="19" t="str">
        <x:v>Adress-anläggning</x:v>
      </x:c>
      <x:c r="C68" s="19" t="str">
        <x:v>SG17/NAD[3035=IT]/C059/3042[1..3]</x:v>
      </x:c>
      <x:c r="D68" s="19" t="str">
        <x:v>installation</x:v>
      </x:c>
      <x:c r="E68" s="19" t="str">
        <x:v>IT</x:v>
      </x:c>
      <x:c r="F68" s="19" t="str">
        <x:v>D</x:v>
      </x:c>
      <x:c r="G68" s="19" t="str">
        <x:v>R</x:v>
      </x:c>
      <x:c r="H68" s="19" t="str">
        <x:v>D</x:v>
      </x:c>
      <x:c r="I68" s="19" t="str">
        <x:v>R</x:v>
      </x:c>
      <x:c r="J68" s="19" t="str">
        <x:v>R</x:v>
      </x:c>
      <x:c r="K68" s="19" t="str">
        <x:v>R</x:v>
      </x:c>
      <x:c r="L68" s="19" t="str">
        <x:v>D</x:v>
      </x:c>
      <x:c r="M68" s="19" t="str">
        <x:v>-</x:v>
      </x:c>
      <x:c r="N68" s="19" t="str">
        <x:v>-</x:v>
      </x:c>
      <x:c r="O68" s="19" t="str">
        <x:v>-</x:v>
      </x:c>
      <x:c r="P68" s="19" t="str">
        <x:v>R</x:v>
      </x:c>
      <x:c r="Q68" s="19" t="str">
        <x:v>-</x:v>
      </x:c>
      <x:c r="R68" s="19" t="str">
        <x:v>-</x:v>
      </x:c>
      <x:c r="S68" s="19" t="str">
        <x:v>Anläggningsadress i 1–3 komponenter</x:v>
      </x:c>
      <x:c r="T68" s="19" t="str">
        <x:v>1-3 rader. När anläggning skickas så anges alltid dess adress.</x:v>
      </x:c>
      <x:c r="U68" s="19" t="str">
        <x:v>22</x:v>
      </x:c>
      <x:c r="V68" s="19" t="str">
        <x:v>P §2.6 s.81; §2.2 s.22</x:v>
      </x:c>
      <x:c r="W68" s="19" t="str">
        <x:v>Kompletteras av segmenttabellens datatyp/längd i annex/source_tables.json och den fulla UNSM-grammatiken; använd inte nationell R/D/O som syntax-M.</x:v>
      </x:c>
    </x:row>
    <x:row r="69" ht="64.19999694824219" customHeight="1">
      <x:c r="A69" s="19" t="str">
        <x:v>235</x:v>
      </x:c>
      <x:c r="B69" s="19" t="str">
        <x:v>Postnr-anläggning</x:v>
      </x:c>
      <x:c r="C69" s="19" t="str">
        <x:v>SG17/NAD[3035=IT]/3251</x:v>
      </x:c>
      <x:c r="D69" s="19" t="str">
        <x:v>installation</x:v>
      </x:c>
      <x:c r="E69" s="19" t="str">
        <x:v>IT</x:v>
      </x:c>
      <x:c r="F69" s="19" t="str">
        <x:v>O</x:v>
      </x:c>
      <x:c r="G69" s="19" t="str">
        <x:v>O</x:v>
      </x:c>
      <x:c r="H69" s="19" t="str">
        <x:v>O</x:v>
      </x:c>
      <x:c r="I69" s="19" t="str">
        <x:v>O</x:v>
      </x:c>
      <x:c r="J69" s="19" t="str">
        <x:v>O</x:v>
      </x:c>
      <x:c r="K69" s="19" t="str">
        <x:v>O</x:v>
      </x:c>
      <x:c r="L69" s="19" t="str">
        <x:v>O</x:v>
      </x:c>
      <x:c r="M69" s="19" t="str">
        <x:v>-</x:v>
      </x:c>
      <x:c r="N69" s="19" t="str">
        <x:v>-</x:v>
      </x:c>
      <x:c r="O69" s="19" t="str">
        <x:v>-</x:v>
      </x:c>
      <x:c r="P69" s="19" t="str">
        <x:v>O</x:v>
      </x:c>
      <x:c r="Q69" s="19" t="str">
        <x:v>-</x:v>
      </x:c>
      <x:c r="R69" s="19" t="str">
        <x:v>-</x:v>
      </x:c>
      <x:c r="S69" s="19" t="str">
        <x:v>Postnummer, skicka om möjligt enligt bilaga 3</x:v>
      </x:c>
      <x:c r="T69" s="19" t="str"/>
      <x:c r="U69" s="19" t="str">
        <x:v>22</x:v>
      </x:c>
      <x:c r="V69" s="19" t="str">
        <x:v>P §2.6 s.81; §2.2 s.22</x:v>
      </x:c>
      <x:c r="W69" s="19" t="str">
        <x:v>Kompletteras av segmenttabellens datatyp/längd i annex/source_tables.json och den fulla UNSM-grammatiken; använd inte nationell R/D/O som syntax-M.</x:v>
      </x:c>
    </x:row>
    <x:row r="70" ht="64.19999694824219" customHeight="1">
      <x:c r="A70" s="19" t="str">
        <x:v>236</x:v>
      </x:c>
      <x:c r="B70" s="19" t="str">
        <x:v>Postort-anläggning</x:v>
      </x:c>
      <x:c r="C70" s="19" t="str">
        <x:v>SG17/NAD[3035=IT]/3164</x:v>
      </x:c>
      <x:c r="D70" s="19" t="str">
        <x:v>installation</x:v>
      </x:c>
      <x:c r="E70" s="19" t="str">
        <x:v>IT</x:v>
      </x:c>
      <x:c r="F70" s="19" t="str">
        <x:v>O</x:v>
      </x:c>
      <x:c r="G70" s="19" t="str">
        <x:v>O</x:v>
      </x:c>
      <x:c r="H70" s="19" t="str">
        <x:v>O</x:v>
      </x:c>
      <x:c r="I70" s="19" t="str">
        <x:v>O</x:v>
      </x:c>
      <x:c r="J70" s="19" t="str">
        <x:v>O</x:v>
      </x:c>
      <x:c r="K70" s="19" t="str">
        <x:v>O</x:v>
      </x:c>
      <x:c r="L70" s="19" t="str">
        <x:v>O</x:v>
      </x:c>
      <x:c r="M70" s="19" t="str">
        <x:v>-</x:v>
      </x:c>
      <x:c r="N70" s="19" t="str">
        <x:v>-</x:v>
      </x:c>
      <x:c r="O70" s="19" t="str">
        <x:v>-</x:v>
      </x:c>
      <x:c r="P70" s="19" t="str">
        <x:v>O</x:v>
      </x:c>
      <x:c r="Q70" s="19" t="str">
        <x:v>-</x:v>
      </x:c>
      <x:c r="R70" s="19" t="str">
        <x:v>-</x:v>
      </x:c>
      <x:c r="S70" s="19" t="str">
        <x:v>Ort, skicka om möjligt enligt bilaga 3</x:v>
      </x:c>
      <x:c r="T70" s="19" t="str"/>
      <x:c r="U70" s="19" t="str">
        <x:v>22</x:v>
      </x:c>
      <x:c r="V70" s="19" t="str">
        <x:v>P §2.6 s.81; §2.2 s.22</x:v>
      </x:c>
      <x:c r="W70" s="19" t="str">
        <x:v>Kompletteras av segmenttabellens datatyp/längd i annex/source_tables.json och den fulla UNSM-grammatiken; använd inte nationell R/D/O som syntax-M.</x:v>
      </x:c>
    </x:row>
    <x:row r="71" ht="64.19999694824219" customHeight="1">
      <x:c r="A71" s="19" t="str">
        <x:v>237</x:v>
      </x:c>
      <x:c r="B71" s="19" t="str">
        <x:v>Land-anläggning</x:v>
      </x:c>
      <x:c r="C71" s="19" t="str">
        <x:v>SG17/NAD[3035=IT]/3207</x:v>
      </x:c>
      <x:c r="D71" s="19" t="str">
        <x:v>installation</x:v>
      </x:c>
      <x:c r="E71" s="19" t="str">
        <x:v>IT</x:v>
      </x:c>
      <x:c r="F71" s="19" t="str">
        <x:v>O</x:v>
      </x:c>
      <x:c r="G71" s="19" t="str">
        <x:v>O</x:v>
      </x:c>
      <x:c r="H71" s="19" t="str">
        <x:v>O</x:v>
      </x:c>
      <x:c r="I71" s="19" t="str">
        <x:v>O</x:v>
      </x:c>
      <x:c r="J71" s="19" t="str">
        <x:v>O</x:v>
      </x:c>
      <x:c r="K71" s="19" t="str">
        <x:v>O</x:v>
      </x:c>
      <x:c r="L71" s="19" t="str">
        <x:v>O</x:v>
      </x:c>
      <x:c r="M71" s="19" t="str">
        <x:v>-</x:v>
      </x:c>
      <x:c r="N71" s="19" t="str">
        <x:v>-</x:v>
      </x:c>
      <x:c r="O71" s="19" t="str">
        <x:v>-</x:v>
      </x:c>
      <x:c r="P71" s="19" t="str">
        <x:v>O</x:v>
      </x:c>
      <x:c r="Q71" s="19" t="str">
        <x:v>-</x:v>
      </x:c>
      <x:c r="R71" s="19" t="str">
        <x:v>-</x:v>
      </x:c>
      <x:c r="S71" s="19" t="str">
        <x:v>Landskod när angiven enligt profil</x:v>
      </x:c>
      <x:c r="T71" s="19" t="str"/>
      <x:c r="U71" s="19" t="str">
        <x:v>23</x:v>
      </x:c>
      <x:c r="V71" s="19" t="str">
        <x:v>P §2.6 s.81; §2.2 s.23</x:v>
      </x:c>
      <x:c r="W71" s="19" t="str">
        <x:v>Kompletteras av segmenttabellens datatyp/längd i annex/source_tables.json och den fulla UNSM-grammatiken; använd inte nationell R/D/O som syntax-M.</x:v>
      </x:c>
    </x:row>
    <x:row r="72" ht="64.19999694824219" customHeight="1">
      <x:c r="A72" s="19" t="str">
        <x:v>250</x:v>
      </x:c>
      <x:c r="B72" s="19" t="str">
        <x:v>Fakturamottagare ID</x:v>
      </x:c>
      <x:c r="C72" s="19" t="str">
        <x:v>SG17/NAD[3035=IV]/C082/3039</x:v>
      </x:c>
      <x:c r="D72" s="19" t="str">
        <x:v>invoicee</x:v>
      </x:c>
      <x:c r="E72" s="19" t="str">
        <x:v>IV</x:v>
      </x:c>
      <x:c r="F72" s="19" t="str">
        <x:v>-</x:v>
      </x:c>
      <x:c r="G72" s="19" t="str">
        <x:v>-</x:v>
      </x:c>
      <x:c r="H72" s="19" t="str">
        <x:v>D</x:v>
      </x:c>
      <x:c r="I72" s="19" t="str">
        <x:v>D</x:v>
      </x:c>
      <x:c r="J72" s="19" t="str">
        <x:v>D</x:v>
      </x:c>
      <x:c r="K72" s="19" t="str">
        <x:v>D</x:v>
      </x:c>
      <x:c r="L72" s="19" t="str">
        <x:v>D</x:v>
      </x:c>
      <x:c r="M72" s="19" t="str">
        <x:v>D</x:v>
      </x:c>
      <x:c r="N72" s="19" t="str">
        <x:v>-</x:v>
      </x:c>
      <x:c r="O72" s="19" t="str">
        <x:v>-</x:v>
      </x:c>
      <x:c r="P72" s="19" t="str">
        <x:v>-</x:v>
      </x:c>
      <x:c r="Q72" s="19" t="str">
        <x:v>-</x:v>
      </x:c>
      <x:c r="R72" s="19" t="str">
        <x:v>-</x:v>
      </x:c>
      <x:c r="S72" s="19" t="str">
        <x:v>Identifiering av fakturamottagare; endast när gruppen tillämplig</x:v>
      </x:c>
      <x:c r="T72" s="19" t="str">
        <x:v>När fakturamottagare skickas så anges alltid dess id.</x:v>
      </x:c>
      <x:c r="U72" s="19" t="str">
        <x:v>23</x:v>
      </x:c>
      <x:c r="V72" s="19" t="str">
        <x:v>P §2.6 s.82; §2.2 s.23</x:v>
      </x:c>
      <x:c r="W72" s="19" t="str">
        <x:v>Kompletteras av segmenttabellens datatyp/längd i annex/source_tables.json och den fulla UNSM-grammatiken; använd inte nationell R/D/O som syntax-M.</x:v>
      </x:c>
    </x:row>
    <x:row r="73" ht="64.19999694824219" customHeight="1">
      <x:c r="A73" s="19" t="str">
        <x:v>251</x:v>
      </x:c>
      <x:c r="B73" s="19" t="str">
        <x:v>Namn-fakturamottagare</x:v>
      </x:c>
      <x:c r="C73" s="19" t="str">
        <x:v>SG17/NAD[3035=IV]/C080/3036[1..2]</x:v>
      </x:c>
      <x:c r="D73" s="19" t="str">
        <x:v>invoicee</x:v>
      </x:c>
      <x:c r="E73" s="19" t="str">
        <x:v>IV</x:v>
      </x:c>
      <x:c r="F73" s="19" t="str">
        <x:v>-</x:v>
      </x:c>
      <x:c r="G73" s="19" t="str">
        <x:v>-</x:v>
      </x:c>
      <x:c r="H73" s="19" t="str">
        <x:v>D</x:v>
      </x:c>
      <x:c r="I73" s="19" t="str">
        <x:v>D</x:v>
      </x:c>
      <x:c r="J73" s="19" t="str">
        <x:v>D</x:v>
      </x:c>
      <x:c r="K73" s="19" t="str">
        <x:v>D</x:v>
      </x:c>
      <x:c r="L73" s="19" t="str">
        <x:v>D</x:v>
      </x:c>
      <x:c r="M73" s="19" t="str">
        <x:v>D</x:v>
      </x:c>
      <x:c r="N73" s="19" t="str">
        <x:v>-</x:v>
      </x:c>
      <x:c r="O73" s="19" t="str">
        <x:v>-</x:v>
      </x:c>
      <x:c r="P73" s="19" t="str">
        <x:v>-</x:v>
      </x:c>
      <x:c r="Q73" s="19" t="str">
        <x:v>-</x:v>
      </x:c>
      <x:c r="R73" s="19" t="str">
        <x:v>-</x:v>
      </x:c>
      <x:c r="S73" s="19" t="str">
        <x:v>Fakturamottagarens namn</x:v>
      </x:c>
      <x:c r="T73" s="19" t="str">
        <x:v>1-2 rader. När fakturamottagare skickas så anges alltid dess namn.</x:v>
      </x:c>
      <x:c r="U73" s="19" t="str">
        <x:v>23</x:v>
      </x:c>
      <x:c r="V73" s="19" t="str">
        <x:v>P §2.6 s.82; §2.2 s.23</x:v>
      </x:c>
      <x:c r="W73" s="19" t="str">
        <x:v>Kompletteras av segmenttabellens datatyp/längd i annex/source_tables.json och den fulla UNSM-grammatiken; använd inte nationell R/D/O som syntax-M.</x:v>
      </x:c>
    </x:row>
    <x:row r="74" ht="64.19999694824219" customHeight="1">
      <x:c r="A74" s="19" t="str">
        <x:v>252</x:v>
      </x:c>
      <x:c r="B74" s="19" t="str">
        <x:v>Adress-fakturamottagare</x:v>
      </x:c>
      <x:c r="C74" s="19" t="str">
        <x:v>SG17/NAD[3035=IV]/C059/3042[1..3]</x:v>
      </x:c>
      <x:c r="D74" s="19" t="str">
        <x:v>invoicee</x:v>
      </x:c>
      <x:c r="E74" s="19" t="str">
        <x:v>IV</x:v>
      </x:c>
      <x:c r="F74" s="19" t="str">
        <x:v>-</x:v>
      </x:c>
      <x:c r="G74" s="19" t="str">
        <x:v>-</x:v>
      </x:c>
      <x:c r="H74" s="19" t="str">
        <x:v>D</x:v>
      </x:c>
      <x:c r="I74" s="19" t="str">
        <x:v>D</x:v>
      </x:c>
      <x:c r="J74" s="19" t="str">
        <x:v>D</x:v>
      </x:c>
      <x:c r="K74" s="19" t="str">
        <x:v>D</x:v>
      </x:c>
      <x:c r="L74" s="19" t="str">
        <x:v>D</x:v>
      </x:c>
      <x:c r="M74" s="19" t="str">
        <x:v>D</x:v>
      </x:c>
      <x:c r="N74" s="19" t="str">
        <x:v>-</x:v>
      </x:c>
      <x:c r="O74" s="19" t="str">
        <x:v>-</x:v>
      </x:c>
      <x:c r="P74" s="19" t="str">
        <x:v>-</x:v>
      </x:c>
      <x:c r="Q74" s="19" t="str">
        <x:v>-</x:v>
      </x:c>
      <x:c r="R74" s="19" t="str">
        <x:v>-</x:v>
      </x:c>
      <x:c r="S74" s="19" t="str">
        <x:v>Fakturamottagarens adress om tillämplig/finns</x:v>
      </x:c>
      <x:c r="T74" s="19" t="str">
        <x:v>1-3 rader. När fakturamottagare skickas så anges alltid, i förekommande fall, dess adress.</x:v>
      </x:c>
      <x:c r="U74" s="19" t="str">
        <x:v>23</x:v>
      </x:c>
      <x:c r="V74" s="19" t="str">
        <x:v>P §2.6 s.82; §2.2 s.23</x:v>
      </x:c>
      <x:c r="W74" s="19" t="str">
        <x:v>Kompletteras av segmenttabellens datatyp/längd i annex/source_tables.json och den fulla UNSM-grammatiken; använd inte nationell R/D/O som syntax-M.</x:v>
      </x:c>
    </x:row>
    <x:row r="75" ht="64.19999694824219" customHeight="1">
      <x:c r="A75" s="19" t="str">
        <x:v>253</x:v>
      </x:c>
      <x:c r="B75" s="19" t="str">
        <x:v>Postnr-fakturamottgare</x:v>
      </x:c>
      <x:c r="C75" s="19" t="str">
        <x:v>SG17/NAD[3035=IV]/3251</x:v>
      </x:c>
      <x:c r="D75" s="19" t="str">
        <x:v>invoicee</x:v>
      </x:c>
      <x:c r="E75" s="19" t="str">
        <x:v>IV</x:v>
      </x:c>
      <x:c r="F75" s="19" t="str">
        <x:v>-</x:v>
      </x:c>
      <x:c r="G75" s="19" t="str">
        <x:v>-</x:v>
      </x:c>
      <x:c r="H75" s="19" t="str">
        <x:v>D</x:v>
      </x:c>
      <x:c r="I75" s="19" t="str">
        <x:v>D</x:v>
      </x:c>
      <x:c r="J75" s="19" t="str">
        <x:v>D</x:v>
      </x:c>
      <x:c r="K75" s="19" t="str">
        <x:v>D</x:v>
      </x:c>
      <x:c r="L75" s="19" t="str">
        <x:v>D</x:v>
      </x:c>
      <x:c r="M75" s="19" t="str">
        <x:v>D</x:v>
      </x:c>
      <x:c r="N75" s="19" t="str">
        <x:v>-</x:v>
      </x:c>
      <x:c r="O75" s="19" t="str">
        <x:v>-</x:v>
      </x:c>
      <x:c r="P75" s="19" t="str">
        <x:v>-</x:v>
      </x:c>
      <x:c r="Q75" s="19" t="str">
        <x:v>-</x:v>
      </x:c>
      <x:c r="R75" s="19" t="str">
        <x:v>-</x:v>
      </x:c>
      <x:c r="S75" s="19" t="str">
        <x:v>Fakturamottagarens postnummer</x:v>
      </x:c>
      <x:c r="T75" s="19" t="str">
        <x:v>När fakturamottagare skickas så anges alltid dess postnr.</x:v>
      </x:c>
      <x:c r="U75" s="19" t="str">
        <x:v>23</x:v>
      </x:c>
      <x:c r="V75" s="19" t="str">
        <x:v>P §2.6 s.82; §2.2 s.23</x:v>
      </x:c>
      <x:c r="W75" s="19" t="str">
        <x:v>Kompletteras av segmenttabellens datatyp/längd i annex/source_tables.json och den fulla UNSM-grammatiken; använd inte nationell R/D/O som syntax-M.</x:v>
      </x:c>
    </x:row>
    <x:row r="76" ht="64.19999694824219" customHeight="1">
      <x:c r="A76" s="19" t="str">
        <x:v>317</x:v>
      </x:c>
      <x:c r="B76" s="19" t="str">
        <x:v>Postort-fakturamottagare</x:v>
      </x:c>
      <x:c r="C76" s="19" t="str">
        <x:v>SG17/NAD[3035=IV]/3164</x:v>
      </x:c>
      <x:c r="D76" s="19" t="str">
        <x:v>invoicee</x:v>
      </x:c>
      <x:c r="E76" s="19" t="str">
        <x:v>IV</x:v>
      </x:c>
      <x:c r="F76" s="19" t="str">
        <x:v>-</x:v>
      </x:c>
      <x:c r="G76" s="19" t="str">
        <x:v>-</x:v>
      </x:c>
      <x:c r="H76" s="19" t="str">
        <x:v>D</x:v>
      </x:c>
      <x:c r="I76" s="19" t="str">
        <x:v>D</x:v>
      </x:c>
      <x:c r="J76" s="19" t="str">
        <x:v>D</x:v>
      </x:c>
      <x:c r="K76" s="19" t="str">
        <x:v>D</x:v>
      </x:c>
      <x:c r="L76" s="19" t="str">
        <x:v>D</x:v>
      </x:c>
      <x:c r="M76" s="19" t="str">
        <x:v>D</x:v>
      </x:c>
      <x:c r="N76" s="19" t="str">
        <x:v>-</x:v>
      </x:c>
      <x:c r="O76" s="19" t="str">
        <x:v>-</x:v>
      </x:c>
      <x:c r="P76" s="19" t="str">
        <x:v>-</x:v>
      </x:c>
      <x:c r="Q76" s="19" t="str">
        <x:v>-</x:v>
      </x:c>
      <x:c r="R76" s="19" t="str">
        <x:v>-</x:v>
      </x:c>
      <x:c r="S76" s="19" t="str">
        <x:v>Fakturamottagarens postort</x:v>
      </x:c>
      <x:c r="T76" s="19" t="str">
        <x:v>När fakturamottagare skickas så anges alltid dess postort.</x:v>
      </x:c>
      <x:c r="U76" s="19" t="str">
        <x:v>23</x:v>
      </x:c>
      <x:c r="V76" s="19" t="str">
        <x:v>P §2.6 s.82; §2.2 s.23</x:v>
      </x:c>
      <x:c r="W76" s="19" t="str">
        <x:v>Kompletteras av segmenttabellens datatyp/längd i annex/source_tables.json och den fulla UNSM-grammatiken; använd inte nationell R/D/O som syntax-M.</x:v>
      </x:c>
    </x:row>
    <x:row r="77" ht="64.19999694824219" customHeight="1">
      <x:c r="A77" s="19" t="str">
        <x:v>318</x:v>
      </x:c>
      <x:c r="B77" s="19" t="str">
        <x:v>Land-fakturamottagare</x:v>
      </x:c>
      <x:c r="C77" s="19" t="str">
        <x:v>SG17/NAD[3035=IV]/3207</x:v>
      </x:c>
      <x:c r="D77" s="19" t="str">
        <x:v>invoicee</x:v>
      </x:c>
      <x:c r="E77" s="19" t="str">
        <x:v>IV</x:v>
      </x:c>
      <x:c r="F77" s="19" t="str">
        <x:v>-</x:v>
      </x:c>
      <x:c r="G77" s="19" t="str">
        <x:v>-</x:v>
      </x:c>
      <x:c r="H77" s="19" t="str">
        <x:v>D</x:v>
      </x:c>
      <x:c r="I77" s="19" t="str">
        <x:v>D</x:v>
      </x:c>
      <x:c r="J77" s="19" t="str">
        <x:v>D</x:v>
      </x:c>
      <x:c r="K77" s="19" t="str">
        <x:v>D</x:v>
      </x:c>
      <x:c r="L77" s="19" t="str">
        <x:v>D</x:v>
      </x:c>
      <x:c r="M77" s="19" t="str">
        <x:v>D</x:v>
      </x:c>
      <x:c r="N77" s="19" t="str">
        <x:v>-</x:v>
      </x:c>
      <x:c r="O77" s="19" t="str">
        <x:v>-</x:v>
      </x:c>
      <x:c r="P77" s="19" t="str">
        <x:v>-</x:v>
      </x:c>
      <x:c r="Q77" s="19" t="str">
        <x:v>-</x:v>
      </x:c>
      <x:c r="R77" s="19" t="str">
        <x:v>-</x:v>
      </x:c>
      <x:c r="S77" s="19" t="str">
        <x:v>Fakturamottagarens land</x:v>
      </x:c>
      <x:c r="T77" s="19" t="str">
        <x:v>När fakturamottagare skickas så anges alltid dess land.</x:v>
      </x:c>
      <x:c r="U77" s="19" t="str">
        <x:v>23</x:v>
      </x:c>
      <x:c r="V77" s="19" t="str">
        <x:v>P §2.6 s.82; §2.2 s.23</x:v>
      </x:c>
      <x:c r="W77" s="19" t="str">
        <x:v>Kompletteras av segmenttabellens datatyp/längd i annex/source_tables.json och den fulla UNSM-grammatiken; använd inte nationell R/D/O som syntax-M.</x:v>
      </x:c>
    </x:row>
    <x:row r="78" ht="64.19999694824219" customHeight="1">
      <x:c r="A78" s="19" t="str">
        <x:v>262</x:v>
      </x:c>
      <x:c r="B78" s="19" t="str">
        <x:v>Balansansvarig</x:v>
      </x:c>
      <x:c r="C78" s="19" t="str">
        <x:v>SG17/NAD[3035=Z02]/C082/3039</x:v>
      </x:c>
      <x:c r="D78" s="19" t="str">
        <x:v>balance_responsible</x:v>
      </x:c>
      <x:c r="E78" s="19" t="str">
        <x:v>—</x:v>
      </x:c>
      <x:c r="F78" s="19" t="str">
        <x:v>-</x:v>
      </x:c>
      <x:c r="G78" s="19" t="str">
        <x:v>-</x:v>
      </x:c>
      <x:c r="H78" s="19" t="str">
        <x:v>R</x:v>
      </x:c>
      <x:c r="I78" s="19" t="str">
        <x:v>R</x:v>
      </x:c>
      <x:c r="J78" s="19" t="str">
        <x:v>R</x:v>
      </x:c>
      <x:c r="K78" s="19" t="str">
        <x:v>R</x:v>
      </x:c>
      <x:c r="L78" s="19" t="str">
        <x:v>R</x:v>
      </x:c>
      <x:c r="M78" s="19" t="str">
        <x:v>R</x:v>
      </x:c>
      <x:c r="N78" s="19" t="str">
        <x:v>R</x:v>
      </x:c>
      <x:c r="O78" s="19" t="str">
        <x:v>-</x:v>
      </x:c>
      <x:c r="P78" s="19" t="str">
        <x:v>-</x:v>
      </x:c>
      <x:c r="Q78" s="19" t="str">
        <x:v>-</x:v>
      </x:c>
      <x:c r="R78" s="19" t="str">
        <x:v>-</x:v>
      </x:c>
      <x:c r="S78" s="19" t="str">
        <x:v>160:SVK; BRP; i Z05 gammal BRP, inte automatiskt tenantens nuvarande</x:v>
      </x:c>
      <x:c r="T78" s="19" t="str">
        <x:v>Giltigt Ediel-id för balansansvarig enligt Ediel- register i Edielportalen. Z05: uppgiften avser gammal balansansvarig.</x:v>
      </x:c>
      <x:c r="U78" s="19" t="str">
        <x:v>23</x:v>
      </x:c>
      <x:c r="V78" s="19" t="str">
        <x:v>P §2.6 s.83; §2.2 s.23</x:v>
      </x:c>
      <x:c r="W78" s="19" t="str">
        <x:v>Kompletteras av segmenttabellens datatyp/längd i annex/source_tables.json och den fulla UNSM-grammatiken; använd inte nationell R/D/O som syntax-M.</x:v>
      </x:c>
    </x:row>
  </x:sheetData>
  <x:mergeCells>
    <x:mergeCell ref="A1:W1"/>
    <x:mergeCell ref="A2:W2"/>
  </x:mergeCells>
  <x:pageMargins left="0.7" right="0.7" top="0.75" bottom="0.75" header="0.3" footer="0.3"/>
  <x:tableParts count="1">
    <x:tablePart xmlns:r="http://schemas.openxmlformats.org/officeDocument/2006/relationships" r:id="R540462ab4f9840e2"/>
  </x:tableParts>
</x:worksheet>
</file>

<file path=xl/worksheets/sheet5.xml><?xml version="1.0" encoding="utf-8"?>
<x:worksheet xmlns:x="http://schemas.openxmlformats.org/spreadsheetml/2006/main">
  <x:sheetFormatPr defaultRowHeight="15"/>
  <x:cols>
    <x:col min="1" max="1" width="14" hidden="0" customWidth="1"/>
    <x:col min="2" max="2" width="25" hidden="0" customWidth="1"/>
    <x:col min="3" max="3" width="8" hidden="0" customWidth="1"/>
    <x:col min="4" max="4" width="8" hidden="0" customWidth="1"/>
    <x:col min="5" max="5" width="8" hidden="0" customWidth="1"/>
    <x:col min="6" max="6" width="8" hidden="0" customWidth="1"/>
    <x:col min="7" max="7" width="8" hidden="0" customWidth="1"/>
    <x:col min="8" max="8" width="8" hidden="0" customWidth="1"/>
    <x:col min="9" max="9" width="8" hidden="0" customWidth="1"/>
    <x:col min="10" max="10" width="8" hidden="0" customWidth="1"/>
    <x:col min="11" max="11" width="8" hidden="0" customWidth="1"/>
    <x:col min="12" max="12" width="8" hidden="0" customWidth="1"/>
    <x:col min="13" max="13" width="8" hidden="0" customWidth="1"/>
    <x:col min="14" max="14" width="8" hidden="0" customWidth="1"/>
    <x:col min="15" max="15" width="8" hidden="0" customWidth="1"/>
    <x:col min="16" max="16" width="65" hidden="0" customWidth="1"/>
    <x:col min="17" max="17" width="18" hidden="0" customWidth="1"/>
  </x:cols>
  <x:sheetData>
    <x:row r="1" ht="30" customHeight="1">
      <x:c r="A1" s="3" t="str">
        <x:v>Föräldragrupper · Gridex Ediel v2</x:v>
      </x:c>
      <x:c r="B1" s="3"/>
      <x:c r="C1" s="3"/>
      <x:c r="D1" s="3"/>
      <x:c r="E1" s="3"/>
      <x:c r="F1" s="3"/>
      <x:c r="G1" s="3"/>
      <x:c r="H1" s="3"/>
      <x:c r="I1" s="3"/>
      <x:c r="J1" s="3"/>
      <x:c r="K1" s="3"/>
      <x:c r="L1" s="3"/>
      <x:c r="M1" s="3"/>
      <x:c r="N1" s="3"/>
      <x:c r="O1" s="3"/>
      <x:c r="P1" s="3"/>
      <x:c r="Q1" s="3"/>
    </x:row>
    <x:row r="2" ht="34" customHeight="1">
      <x:c r="A2" s="8" t="str">
        <x:v>Tre grupper: barnets R-krav gäller inte om föräldragruppen är icke tillämplig.</x:v>
      </x:c>
      <x:c r="B2" s="8"/>
      <x:c r="C2" s="8"/>
      <x:c r="D2" s="8"/>
      <x:c r="E2" s="8"/>
      <x:c r="F2" s="8"/>
      <x:c r="G2" s="8"/>
      <x:c r="H2" s="8"/>
      <x:c r="I2" s="8"/>
      <x:c r="J2" s="8"/>
      <x:c r="K2" s="8"/>
      <x:c r="L2" s="8"/>
      <x:c r="M2" s="8"/>
      <x:c r="N2" s="8"/>
      <x:c r="O2" s="8"/>
      <x:c r="P2" s="8"/>
      <x:c r="Q2" s="8"/>
    </x:row>
    <x:row r="4" ht="37" customHeight="1">
      <x:c r="A4" s="14" t="str">
        <x:v>Grupp</x:v>
      </x:c>
      <x:c r="B4" s="14" t="str">
        <x:v>Namn</x:v>
      </x:c>
      <x:c r="C4" s="14" t="str">
        <x:v>Z01</x:v>
      </x:c>
      <x:c r="D4" s="14" t="str">
        <x:v>Z02</x:v>
      </x:c>
      <x:c r="E4" s="14" t="str">
        <x:v>Z03</x:v>
      </x:c>
      <x:c r="F4" s="14" t="str">
        <x:v>Z04</x:v>
      </x:c>
      <x:c r="G4" s="14" t="str">
        <x:v>Z05</x:v>
      </x:c>
      <x:c r="H4" s="14" t="str">
        <x:v>Z06</x:v>
      </x:c>
      <x:c r="I4" s="14" t="str">
        <x:v>Z08</x:v>
      </x:c>
      <x:c r="J4" s="14" t="str">
        <x:v>Z09</x:v>
      </x:c>
      <x:c r="K4" s="14" t="str">
        <x:v>Z10</x:v>
      </x:c>
      <x:c r="L4" s="14" t="str">
        <x:v>Z13</x:v>
      </x:c>
      <x:c r="M4" s="14" t="str">
        <x:v>Z14</x:v>
      </x:c>
      <x:c r="N4" s="14" t="str">
        <x:v>Z15</x:v>
      </x:c>
      <x:c r="O4" s="14" t="str">
        <x:v>Z18</x:v>
      </x:c>
      <x:c r="P4" s="14" t="str">
        <x:v>Villkor</x:v>
      </x:c>
      <x:c r="Q4" s="14" t="str">
        <x:v>Källsidor</x:v>
      </x:c>
    </x:row>
    <x:row r="5" ht="50.400001525878906" customHeight="1">
      <x:c r="A5" s="19" t="str">
        <x:v>UD</x:v>
      </x:c>
      <x:c r="B5" s="19" t="str">
        <x:v>Elanvändare</x:v>
      </x:c>
      <x:c r="C5" s="19" t="str">
        <x:v>R</x:v>
      </x:c>
      <x:c r="D5" s="19" t="str">
        <x:v>R</x:v>
      </x:c>
      <x:c r="E5" s="19" t="str">
        <x:v>R</x:v>
      </x:c>
      <x:c r="F5" s="19" t="str">
        <x:v>R</x:v>
      </x:c>
      <x:c r="G5" s="19" t="str">
        <x:v>R</x:v>
      </x:c>
      <x:c r="H5" s="19" t="str">
        <x:v>D</x:v>
      </x:c>
      <x:c r="I5" s="19" t="str">
        <x:v>R</x:v>
      </x:c>
      <x:c r="J5" s="19" t="str">
        <x:v>D</x:v>
      </x:c>
      <x:c r="K5" s="19" t="str">
        <x:v>-</x:v>
      </x:c>
      <x:c r="L5" s="19" t="str">
        <x:v>R</x:v>
      </x:c>
      <x:c r="M5" s="19" t="str">
        <x:v>D</x:v>
      </x:c>
      <x:c r="N5" s="19" t="str">
        <x:v>R</x:v>
      </x:c>
      <x:c r="O5" s="19" t="str">
        <x:v>R</x:v>
      </x:c>
      <x:c r="P5" s="19" t="str">
        <x:v>Elanvändaren anges i Z06E, men inte i Z06F eller Z06G. Elanvändaren anges även i Z09E men inte i Z09B, Z09D, Z09F eller Z09G. Elanvändaren anges i Z14, utom i Z14N.</x:v>
      </x:c>
      <x:c r="Q5" s="19" t="str">
        <x:v>22</x:v>
      </x:c>
    </x:row>
    <x:row r="6" ht="78" customHeight="1">
      <x:c r="A6" s="19" t="str">
        <x:v>IT</x:v>
      </x:c>
      <x:c r="B6" s="19" t="str">
        <x:v>Anläggning</x:v>
      </x:c>
      <x:c r="C6" s="19" t="str">
        <x:v>O</x:v>
      </x:c>
      <x:c r="D6" s="19" t="str">
        <x:v>R</x:v>
      </x:c>
      <x:c r="E6" s="19" t="str">
        <x:v>O</x:v>
      </x:c>
      <x:c r="F6" s="19" t="str">
        <x:v>R</x:v>
      </x:c>
      <x:c r="G6" s="19" t="str">
        <x:v>R</x:v>
      </x:c>
      <x:c r="H6" s="19" t="str">
        <x:v>R</x:v>
      </x:c>
      <x:c r="I6" s="19" t="str">
        <x:v>O</x:v>
      </x:c>
      <x:c r="J6" s="19" t="str">
        <x:v>-</x:v>
      </x:c>
      <x:c r="K6" s="19" t="str">
        <x:v>-</x:v>
      </x:c>
      <x:c r="L6" s="19" t="str">
        <x:v>-</x:v>
      </x:c>
      <x:c r="M6" s="19" t="str">
        <x:v>D</x:v>
      </x:c>
      <x:c r="N6" s="19" t="str">
        <x:v>-</x:v>
      </x:c>
      <x:c r="O6" s="19" t="str">
        <x:v>-</x:v>
      </x:c>
      <x:c r="P6" s="19" t="str">
        <x:v>Anläggningsadressen anges alltid här i Z02, Z04, Z05, Z06, oavsett om den är samma eller inte som adressen för elanvändaren. Anläggningsadressen anges även i Z14 (utom Z14N), när den då skickas ska fält 233 och 234 vara med. Anläggningsadressen behöver inte finnas med i Z01, Z03 eller Z08.</x:v>
      </x:c>
      <x:c r="Q6" s="19" t="str">
        <x:v>22</x:v>
      </x:c>
    </x:row>
    <x:row r="7" ht="50.400001525878906" customHeight="1">
      <x:c r="A7" s="19" t="str">
        <x:v>IV</x:v>
      </x:c>
      <x:c r="B7" s="19" t="str">
        <x:v>Fakturamottagare</x:v>
      </x:c>
      <x:c r="C7" s="19" t="str">
        <x:v>-</x:v>
      </x:c>
      <x:c r="D7" s="19" t="str">
        <x:v>-</x:v>
      </x:c>
      <x:c r="E7" s="19" t="str">
        <x:v>D</x:v>
      </x:c>
      <x:c r="F7" s="19" t="str">
        <x:v>D</x:v>
      </x:c>
      <x:c r="G7" s="19" t="str">
        <x:v>D</x:v>
      </x:c>
      <x:c r="H7" s="19" t="str">
        <x:v>D</x:v>
      </x:c>
      <x:c r="I7" s="19" t="str">
        <x:v>D</x:v>
      </x:c>
      <x:c r="J7" s="19" t="str">
        <x:v>D</x:v>
      </x:c>
      <x:c r="K7" s="19" t="str">
        <x:v>-</x:v>
      </x:c>
      <x:c r="L7" s="19" t="str">
        <x:v>-</x:v>
      </x:c>
      <x:c r="M7" s="19" t="str">
        <x:v>-</x:v>
      </x:c>
      <x:c r="N7" s="19" t="str">
        <x:v>-</x:v>
      </x:c>
      <x:c r="O7" s="19" t="str">
        <x:v>-</x:v>
      </x:c>
      <x:c r="P7" s="19" t="str">
        <x:v>Fakturamottagare skall skickas om fakturamottagarens adress skiljer sig från elanvändarens adress. I Z09 kan fakturamottagare enbart anges för Z09E.</x:v>
      </x:c>
      <x:c r="Q7" s="19" t="str">
        <x:v>23</x:v>
      </x:c>
    </x:row>
  </x:sheetData>
  <x:mergeCells>
    <x:mergeCell ref="A1:Q1"/>
    <x:mergeCell ref="A2:Q2"/>
  </x:mergeCells>
  <x:pageMargins left="0.7" right="0.7" top="0.75" bottom="0.75" header="0.3" footer="0.3"/>
  <x:tableParts count="1">
    <x:tablePart xmlns:r="http://schemas.openxmlformats.org/officeDocument/2006/relationships" r:id="R385e0896dad84c0a"/>
  </x:tableParts>
</x:worksheet>
</file>

<file path=xl/worksheets/sheet6.xml><?xml version="1.0" encoding="utf-8"?>
<x:worksheet xmlns:x="http://schemas.openxmlformats.org/spreadsheetml/2006/main">
  <x:sheetFormatPr defaultRowHeight="15"/>
  <x:cols>
    <x:col min="1" max="1" width="24" hidden="0" customWidth="1"/>
    <x:col min="2" max="2" width="12" hidden="0" customWidth="1"/>
    <x:col min="3" max="3" width="14" hidden="0" customWidth="1"/>
    <x:col min="4" max="4" width="55" hidden="0" customWidth="1"/>
    <x:col min="5" max="5" width="14" hidden="0" customWidth="1"/>
    <x:col min="6" max="6" width="30" hidden="0" customWidth="1"/>
    <x:col min="7" max="7" width="55" hidden="0" customWidth="1"/>
    <x:col min="8" max="8" width="48" hidden="0" customWidth="1"/>
    <x:col min="9" max="9" width="46" hidden="0" customWidth="1"/>
    <x:col min="10" max="10" width="36" hidden="0" customWidth="1"/>
  </x:cols>
  <x:sheetData>
    <x:row r="1" ht="30" customHeight="1">
      <x:c r="A1" s="3" t="str">
        <x:v>PRODAT-D-villkor · Gridex Ediel v2</x:v>
      </x:c>
      <x:c r="B1" s="3"/>
      <x:c r="C1" s="3"/>
      <x:c r="D1" s="3"/>
      <x:c r="E1" s="3"/>
      <x:c r="F1" s="3"/>
      <x:c r="G1" s="3"/>
      <x:c r="H1" s="3"/>
      <x:c r="I1" s="3"/>
      <x:c r="J1" s="3"/>
    </x:row>
    <x:row r="2" ht="34" customHeight="1">
      <x:c r="A2" s="8" t="str">
        <x:v>110 D-celler med uttryckliga grenar. Detta är en specifikation, inte direkt körbar villkorskod.</x:v>
      </x:c>
      <x:c r="B2" s="8"/>
      <x:c r="C2" s="8"/>
      <x:c r="D2" s="8"/>
      <x:c r="E2" s="8"/>
      <x:c r="F2" s="8"/>
      <x:c r="G2" s="8"/>
      <x:c r="H2" s="8"/>
      <x:c r="I2" s="8"/>
      <x:c r="J2" s="8"/>
    </x:row>
    <x:row r="4" ht="37" customHeight="1">
      <x:c r="A4" s="14" t="str">
        <x:v>Villkors-id</x:v>
      </x:c>
      <x:c r="B4" s="14" t="str">
        <x:v>Fält</x:v>
      </x:c>
      <x:c r="C4" s="14" t="str">
        <x:v>Meddelande</x:v>
      </x:c>
      <x:c r="D4" s="14" t="str">
        <x:v>När</x:v>
      </x:c>
      <x:c r="E4" s="14" t="str">
        <x:v>Sant</x:v>
      </x:c>
      <x:c r="F4" s="14" t="str">
        <x:v>Falskt</x:v>
      </x:c>
      <x:c r="G4" s="14" t="str">
        <x:v>Okänt</x:v>
      </x:c>
      <x:c r="H4" s="14" t="str">
        <x:v>Överordnad gruppregel</x:v>
      </x:c>
      <x:c r="I4" s="14" t="str">
        <x:v>Notering</x:v>
      </x:c>
      <x:c r="J4" s="14" t="str">
        <x:v>Källa</x:v>
      </x:c>
    </x:row>
    <x:row r="5" ht="64.19999694824219" customHeight="1">
      <x:c r="A5" s="19" t="str">
        <x:v>PC-209-Z14</x:v>
      </x:c>
      <x:c r="B5" s="19" t="str">
        <x:v>209</x:v>
      </x:c>
      <x:c r="C5" s="19" t="str">
        <x:v>Z14</x:v>
      </x:c>
      <x:c r="D5" s="19" t="str">
        <x:v>subtype != N</x:v>
      </x:c>
      <x:c r="E5" s="19" t="str">
        <x:v>R</x:v>
      </x:c>
      <x:c r="F5" s="19" t="str">
        <x:v>X</x:v>
      </x:c>
      <x:c r="G5" s="19" t="str">
        <x:v>Stoppa egen sändning tills nödvändiga fakta är kända. Vid mottagning: avgör om fakta kan härledas ur giltigt meddelande/behörig struktur; lokalt kunskapsgap är inte automatiskt externt protokollfel.</x:v>
      </x:c>
      <x:c r="H5" s="19" t="str">
        <x:v>Utvärdera parent_group först. Inaktiv grupp gör barnets R/D icke-tillämpligt.</x:v>
      </x:c>
      <x:c r="I5" s="19" t="str"/>
      <x:c r="J5" s="19" t="str">
        <x:v>P §2.2 s.16–22; respektive fältnotering</x:v>
      </x:c>
    </x:row>
    <x:row r="6" ht="64.19999694824219" customHeight="1">
      <x:c r="A6" s="19" t="str">
        <x:v>PC-258-Z04</x:v>
      </x:c>
      <x:c r="B6" s="19" t="str">
        <x:v>258</x:v>
      </x:c>
      <x:c r="C6" s="19" t="str">
        <x:v>Z04</x:v>
      </x:c>
      <x:c r="D6" s="19" t="str">
        <x:v>register_count &gt; 1</x:v>
      </x:c>
      <x:c r="E6" s="19" t="str">
        <x:v>R</x:v>
      </x:c>
      <x:c r="F6" s="19" t="str">
        <x:v>X</x:v>
      </x:c>
      <x:c r="G6" s="19" t="str">
        <x:v>Stoppa egen sändning tills nödvändiga fakta är kända. Vid mottagning: avgör om fakta kan härledas ur giltigt meddelande/behörig struktur; lokalt kunskapsgap är inte automatiskt externt protokollfel.</x:v>
      </x:c>
      <x:c r="H6" s="19" t="str">
        <x:v>Utvärdera parent_group först. Inaktiv grupp gör barnets R/D icke-tillämpligt.</x:v>
      </x:c>
      <x:c r="I6" s="19" t="str"/>
      <x:c r="J6" s="19" t="str">
        <x:v>P §2.2 s.16–22; respektive fältnotering</x:v>
      </x:c>
    </x:row>
    <x:row r="7" ht="64.19999694824219" customHeight="1">
      <x:c r="A7" s="19" t="str">
        <x:v>PC-258-Z06</x:v>
      </x:c>
      <x:c r="B7" s="19" t="str">
        <x:v>258</x:v>
      </x:c>
      <x:c r="C7" s="19" t="str">
        <x:v>Z06</x:v>
      </x:c>
      <x:c r="D7" s="19" t="str">
        <x:v>register_count &gt; 1</x:v>
      </x:c>
      <x:c r="E7" s="19" t="str">
        <x:v>R</x:v>
      </x:c>
      <x:c r="F7" s="19" t="str">
        <x:v>X</x:v>
      </x:c>
      <x:c r="G7" s="19" t="str">
        <x:v>Stoppa egen sändning tills nödvändiga fakta är kända. Vid mottagning: avgör om fakta kan härledas ur giltigt meddelande/behörig struktur; lokalt kunskapsgap är inte automatiskt externt protokollfel.</x:v>
      </x:c>
      <x:c r="H7" s="19" t="str">
        <x:v>Utvärdera parent_group först. Inaktiv grupp gör barnets R/D icke-tillämpligt.</x:v>
      </x:c>
      <x:c r="I7" s="19" t="str"/>
      <x:c r="J7" s="19" t="str">
        <x:v>P §2.2 s.16–22; respektive fältnotering</x:v>
      </x:c>
    </x:row>
    <x:row r="8" ht="64.19999694824219" customHeight="1">
      <x:c r="A8" s="19" t="str">
        <x:v>PC-258-Z10</x:v>
      </x:c>
      <x:c r="B8" s="19" t="str">
        <x:v>258</x:v>
      </x:c>
      <x:c r="C8" s="19" t="str">
        <x:v>Z10</x:v>
      </x:c>
      <x:c r="D8" s="19" t="str">
        <x:v>register_count &gt; 1</x:v>
      </x:c>
      <x:c r="E8" s="19" t="str">
        <x:v>R</x:v>
      </x:c>
      <x:c r="F8" s="19" t="str">
        <x:v>X</x:v>
      </x:c>
      <x:c r="G8" s="19" t="str">
        <x:v>Stoppa egen sändning tills nödvändiga fakta är kända. Vid mottagning: avgör om fakta kan härledas ur giltigt meddelande/behörig struktur; lokalt kunskapsgap är inte automatiskt externt protokollfel.</x:v>
      </x:c>
      <x:c r="H8" s="19" t="str">
        <x:v>Utvärdera parent_group först. Inaktiv grupp gör barnets R/D icke-tillämpligt.</x:v>
      </x:c>
      <x:c r="I8" s="19" t="str"/>
      <x:c r="J8" s="19" t="str">
        <x:v>P §2.2 s.16–22; respektive fältnotering</x:v>
      </x:c>
    </x:row>
    <x:row r="9" ht="64.19999694824219" customHeight="1">
      <x:c r="A9" s="19" t="str">
        <x:v>PC-210-Z06</x:v>
      </x:c>
      <x:c r="B9" s="19" t="str">
        <x:v>210</x:v>
      </x:c>
      <x:c r="C9" s="19" t="str">
        <x:v>Z06</x:v>
      </x:c>
      <x:c r="D9" s="19" t="str">
        <x:v>change_effective_at &lt; supply_start_at</x:v>
      </x:c>
      <x:c r="E9" s="19" t="str">
        <x:v>R</x:v>
      </x:c>
      <x:c r="F9" s="19" t="str">
        <x:v>X</x:v>
      </x:c>
      <x:c r="G9" s="19" t="str">
        <x:v>Stoppa egen sändning tills nödvändiga fakta är kända. Vid mottagning: avgör om fakta kan härledas ur giltigt meddelande/behörig struktur; lokalt kunskapsgap är inte automatiskt externt protokollfel.</x:v>
      </x:c>
      <x:c r="H9" s="19" t="str">
        <x:v>Utvärdera parent_group först. Inaktiv grupp gör barnets R/D icke-tillämpligt.</x:v>
      </x:c>
      <x:c r="I9" s="19" t="str"/>
      <x:c r="J9" s="19" t="str">
        <x:v>P §2.2 s.16–22; respektive fältnotering</x:v>
      </x:c>
    </x:row>
    <x:row r="10" ht="64.19999694824219" customHeight="1">
      <x:c r="A10" s="19" t="str">
        <x:v>PC-210-Z09</x:v>
      </x:c>
      <x:c r="B10" s="19" t="str">
        <x:v>210</x:v>
      </x:c>
      <x:c r="C10" s="19" t="str">
        <x:v>Z09</x:v>
      </x:c>
      <x:c r="D10" s="19" t="str">
        <x:v>subtype == D AND production_contract_event == start</x:v>
      </x:c>
      <x:c r="E10" s="19" t="str">
        <x:v>R</x:v>
      </x:c>
      <x:c r="F10" s="19" t="str">
        <x:v>X</x:v>
      </x:c>
      <x:c r="G10" s="19" t="str">
        <x:v>Stoppa egen sändning tills nödvändiga fakta är kända. Vid mottagning: avgör om fakta kan härledas ur giltigt meddelande/behörig struktur; lokalt kunskapsgap är inte automatiskt externt protokollfel.</x:v>
      </x:c>
      <x:c r="H10" s="19" t="str">
        <x:v>Utvärdera parent_group först. Inaktiv grupp gör barnets R/D icke-tillämpligt.</x:v>
      </x:c>
      <x:c r="I10" s="19" t="str"/>
      <x:c r="J10" s="19" t="str">
        <x:v>P §2.2 s.16–22; respektive fältnotering</x:v>
      </x:c>
    </x:row>
    <x:row r="11" ht="64.19999694824219" customHeight="1">
      <x:c r="A11" s="19" t="str">
        <x:v>PC-210-Z10</x:v>
      </x:c>
      <x:c r="B11" s="19" t="str">
        <x:v>210</x:v>
      </x:c>
      <x:c r="C11" s="19" t="str">
        <x:v>Z10</x:v>
      </x:c>
      <x:c r="D11" s="19" t="str">
        <x:v>change_effective_at &lt; supply_start_at</x:v>
      </x:c>
      <x:c r="E11" s="19" t="str">
        <x:v>R</x:v>
      </x:c>
      <x:c r="F11" s="19" t="str">
        <x:v>X</x:v>
      </x:c>
      <x:c r="G11" s="19" t="str">
        <x:v>Stoppa egen sändning tills nödvändiga fakta är kända. Vid mottagning: avgör om fakta kan härledas ur giltigt meddelande/behörig struktur; lokalt kunskapsgap är inte automatiskt externt protokollfel.</x:v>
      </x:c>
      <x:c r="H11" s="19" t="str">
        <x:v>Utvärdera parent_group först. Inaktiv grupp gör barnets R/D icke-tillämpligt.</x:v>
      </x:c>
      <x:c r="I11" s="19" t="str"/>
      <x:c r="J11" s="19" t="str">
        <x:v>P §2.2 s.16–22; respektive fältnotering</x:v>
      </x:c>
    </x:row>
    <x:row r="12" ht="64.19999694824219" customHeight="1">
      <x:c r="A12" s="19" t="str">
        <x:v>PC-211-Z09</x:v>
      </x:c>
      <x:c r="B12" s="19" t="str">
        <x:v>211</x:v>
      </x:c>
      <x:c r="C12" s="19" t="str">
        <x:v>Z09</x:v>
      </x:c>
      <x:c r="D12" s="19" t="str">
        <x:v>subtype == D AND production_contract_event == end</x:v>
      </x:c>
      <x:c r="E12" s="19" t="str">
        <x:v>R</x:v>
      </x:c>
      <x:c r="F12" s="19" t="str">
        <x:v>X</x:v>
      </x:c>
      <x:c r="G12" s="19" t="str">
        <x:v>Stoppa egen sändning tills nödvändiga fakta är kända. Vid mottagning: avgör om fakta kan härledas ur giltigt meddelande/behörig struktur; lokalt kunskapsgap är inte automatiskt externt protokollfel.</x:v>
      </x:c>
      <x:c r="H12" s="19" t="str">
        <x:v>Utvärdera parent_group först. Inaktiv grupp gör barnets R/D icke-tillämpligt.</x:v>
      </x:c>
      <x:c r="I12" s="19" t="str">
        <x:v>Z09D: 210 XOR 211. Båda ger APERAK 40/109 vid mottagning.</x:v>
      </x:c>
      <x:c r="J12" s="19" t="str">
        <x:v>P §2.2 s.16–22; respektive fältnotering</x:v>
      </x:c>
    </x:row>
    <x:row r="13" ht="64.19999694824219" customHeight="1">
      <x:c r="A13" s="19" t="str">
        <x:v>PC-302-Z14</x:v>
      </x:c>
      <x:c r="B13" s="19" t="str">
        <x:v>302</x:v>
      </x:c>
      <x:c r="C13" s="19" t="str">
        <x:v>Z14</x:v>
      </x:c>
      <x:c r="D13" s="19" t="str">
        <x:v>subtype != N</x:v>
      </x:c>
      <x:c r="E13" s="19" t="str">
        <x:v>R</x:v>
      </x:c>
      <x:c r="F13" s="19" t="str">
        <x:v>X</x:v>
      </x:c>
      <x:c r="G13" s="19" t="str">
        <x:v>Stoppa egen sändning tills nödvändiga fakta är kända. Vid mottagning: avgör om fakta kan härledas ur giltigt meddelande/behörig struktur; lokalt kunskapsgap är inte automatiskt externt protokollfel.</x:v>
      </x:c>
      <x:c r="H13" s="19" t="str">
        <x:v>Utvärdera parent_group först. Inaktiv grupp gör barnets R/D icke-tillämpligt.</x:v>
      </x:c>
      <x:c r="I13" s="19" t="str"/>
      <x:c r="J13" s="19" t="str">
        <x:v>P §2.2 s.16–22; respektive fältnotering</x:v>
      </x:c>
    </x:row>
    <x:row r="14" ht="64.19999694824219" customHeight="1">
      <x:c r="A14" s="19" t="str">
        <x:v>PC-321-Z13</x:v>
      </x:c>
      <x:c r="B14" s="19" t="str">
        <x:v>321</x:v>
      </x:c>
      <x:c r="C14" s="19" t="str">
        <x:v>Z13</x:v>
      </x:c>
      <x:c r="D14" s="19" t="str">
        <x:v>reporting_end_is_bounded</x:v>
      </x:c>
      <x:c r="E14" s="19" t="str">
        <x:v>R</x:v>
      </x:c>
      <x:c r="F14" s="19" t="str">
        <x:v>X</x:v>
      </x:c>
      <x:c r="G14" s="19" t="str">
        <x:v>Stoppa egen sändning tills nödvändiga fakta är kända. Vid mottagning: avgör om fakta kan härledas ur giltigt meddelande/behörig struktur; lokalt kunskapsgap är inte automatiskt externt protokollfel.</x:v>
      </x:c>
      <x:c r="H14" s="19" t="str">
        <x:v>Utvärdera parent_group först. Inaktiv grupp gör barnets R/D icke-tillämpligt.</x:v>
      </x:c>
      <x:c r="I14" s="19" t="str">
        <x:v>VH kräver slut; V tills vidare har inget slut.</x:v>
      </x:c>
      <x:c r="J14" s="19" t="str">
        <x:v>P §2.2 s.16–22; respektive fältnotering</x:v>
      </x:c>
    </x:row>
    <x:row r="15" ht="64.19999694824219" customHeight="1">
      <x:c r="A15" s="19" t="str">
        <x:v>PC-321-Z14</x:v>
      </x:c>
      <x:c r="B15" s="19" t="str">
        <x:v>321</x:v>
      </x:c>
      <x:c r="C15" s="19" t="str">
        <x:v>Z14</x:v>
      </x:c>
      <x:c r="D15" s="19" t="str">
        <x:v>subtype != N AND reporting_end_is_bounded</x:v>
      </x:c>
      <x:c r="E15" s="19" t="str">
        <x:v>R</x:v>
      </x:c>
      <x:c r="F15" s="19" t="str">
        <x:v>X</x:v>
      </x:c>
      <x:c r="G15" s="19" t="str">
        <x:v>Stoppa egen sändning tills nödvändiga fakta är kända. Vid mottagning: avgör om fakta kan härledas ur giltigt meddelande/behörig struktur; lokalt kunskapsgap är inte automatiskt externt protokollfel.</x:v>
      </x:c>
      <x:c r="H15" s="19" t="str">
        <x:v>Utvärdera parent_group först. Inaktiv grupp gör barnets R/D icke-tillämpligt.</x:v>
      </x:c>
      <x:c r="I15" s="19" t="str"/>
      <x:c r="J15" s="19" t="str">
        <x:v>P §2.2 s.16–22; respektive fältnotering</x:v>
      </x:c>
    </x:row>
    <x:row r="16" ht="64.19999694824219" customHeight="1">
      <x:c r="A16" s="19" t="str">
        <x:v>PC-216-Z09</x:v>
      </x:c>
      <x:c r="B16" s="19" t="str">
        <x:v>216</x:v>
      </x:c>
      <x:c r="C16" s="19" t="str">
        <x:v>Z09</x:v>
      </x:c>
      <x:c r="D16" s="19" t="str">
        <x:v>subtype != D</x:v>
      </x:c>
      <x:c r="E16" s="19" t="str">
        <x:v>R</x:v>
      </x:c>
      <x:c r="F16" s="19" t="str">
        <x:v>X</x:v>
      </x:c>
      <x:c r="G16" s="19" t="str">
        <x:v>Stoppa egen sändning tills nödvändiga fakta är kända. Vid mottagning: avgör om fakta kan härledas ur giltigt meddelande/behörig struktur; lokalt kunskapsgap är inte automatiskt externt protokollfel.</x:v>
      </x:c>
      <x:c r="H16" s="19" t="str">
        <x:v>Utvärdera parent_group först. Inaktiv grupp gör barnets R/D icke-tillämpligt.</x:v>
      </x:c>
      <x:c r="I16" s="19" t="str"/>
      <x:c r="J16" s="19" t="str">
        <x:v>P §2.2 s.16–22; respektive fältnotering</x:v>
      </x:c>
    </x:row>
    <x:row r="17" ht="64.19999694824219" customHeight="1">
      <x:c r="A17" s="19" t="str">
        <x:v>PC-508-Z06</x:v>
      </x:c>
      <x:c r="B17" s="19" t="str">
        <x:v>508</x:v>
      </x:c>
      <x:c r="C17" s="19" t="str">
        <x:v>Z06</x:v>
      </x:c>
      <x:c r="D17" s="19" t="str">
        <x:v>subtype == F</x:v>
      </x:c>
      <x:c r="E17" s="19" t="str">
        <x:v>R</x:v>
      </x:c>
      <x:c r="F17" s="19" t="str">
        <x:v>O</x:v>
      </x:c>
      <x:c r="G17" s="19" t="str">
        <x:v>Stoppa egen sändning tills nödvändiga fakta är kända. Vid mottagning: avgör om fakta kan härledas ur giltigt meddelande/behörig struktur; lokalt kunskapsgap är inte automatiskt externt protokollfel.</x:v>
      </x:c>
      <x:c r="H17" s="19" t="str">
        <x:v>Utvärdera parent_group först. Inaktiv grupp gör barnets R/D icke-tillämpligt.</x:v>
      </x:c>
      <x:c r="I17" s="19" t="str"/>
      <x:c r="J17" s="19" t="str">
        <x:v>P §2.2 s.16–22; respektive fältnotering</x:v>
      </x:c>
    </x:row>
    <x:row r="18" ht="64.19999694824219" customHeight="1">
      <x:c r="A18" s="19" t="str">
        <x:v>PC-508-Z14</x:v>
      </x:c>
      <x:c r="B18" s="19" t="str">
        <x:v>508</x:v>
      </x:c>
      <x:c r="C18" s="19" t="str">
        <x:v>Z14</x:v>
      </x:c>
      <x:c r="D18" s="19" t="str">
        <x:v>subtype != N</x:v>
      </x:c>
      <x:c r="E18" s="19" t="str">
        <x:v>R</x:v>
      </x:c>
      <x:c r="F18" s="19" t="str">
        <x:v>X</x:v>
      </x:c>
      <x:c r="G18" s="19" t="str">
        <x:v>Stoppa egen sändning tills nödvändiga fakta är kända. Vid mottagning: avgör om fakta kan härledas ur giltigt meddelande/behörig struktur; lokalt kunskapsgap är inte automatiskt externt protokollfel.</x:v>
      </x:c>
      <x:c r="H18" s="19" t="str">
        <x:v>Utvärdera parent_group först. Inaktiv grupp gör barnets R/D icke-tillämpligt.</x:v>
      </x:c>
      <x:c r="I18" s="19" t="str"/>
      <x:c r="J18" s="19" t="str">
        <x:v>P §2.2 s.16–22; respektive fältnotering</x:v>
      </x:c>
    </x:row>
    <x:row r="19" ht="64.19999694824219" customHeight="1">
      <x:c r="A19" s="19" t="str">
        <x:v>PC-326-Z14</x:v>
      </x:c>
      <x:c r="B19" s="19" t="str">
        <x:v>326</x:v>
      </x:c>
      <x:c r="C19" s="19" t="str">
        <x:v>Z14</x:v>
      </x:c>
      <x:c r="D19" s="19" t="str">
        <x:v>subtype != N</x:v>
      </x:c>
      <x:c r="E19" s="19" t="str">
        <x:v>R</x:v>
      </x:c>
      <x:c r="F19" s="19" t="str">
        <x:v>X</x:v>
      </x:c>
      <x:c r="G19" s="19" t="str">
        <x:v>Stoppa egen sändning tills nödvändiga fakta är kända. Vid mottagning: avgör om fakta kan härledas ur giltigt meddelande/behörig struktur; lokalt kunskapsgap är inte automatiskt externt protokollfel.</x:v>
      </x:c>
      <x:c r="H19" s="19" t="str">
        <x:v>Utvärdera parent_group först. Inaktiv grupp gör barnets R/D icke-tillämpligt.</x:v>
      </x:c>
      <x:c r="I19" s="19" t="str"/>
      <x:c r="J19" s="19" t="str">
        <x:v>P §2.2 s.16–22; respektive fältnotering</x:v>
      </x:c>
    </x:row>
    <x:row r="20" ht="64.19999694824219" customHeight="1">
      <x:c r="A20" s="19" t="str">
        <x:v>PC-214-Z04</x:v>
      </x:c>
      <x:c r="B20" s="19" t="str">
        <x:v>214</x:v>
      </x:c>
      <x:c r="C20" s="19" t="str">
        <x:v>Z04</x:v>
      </x:c>
      <x:c r="D20" s="19" t="str">
        <x:v>meter_stands_expected</x:v>
      </x:c>
      <x:c r="E20" s="19" t="str">
        <x:v>R</x:v>
      </x:c>
      <x:c r="F20" s="19" t="str">
        <x:v>X</x:v>
      </x:c>
      <x:c r="G20" s="19" t="str">
        <x:v>Stoppa egen sändning tills nödvändiga fakta är kända. Vid mottagning: avgör om fakta kan härledas ur giltigt meddelande/behörig struktur; lokalt kunskapsgap är inte automatiskt externt protokollfel.</x:v>
      </x:c>
      <x:c r="H20" s="19" t="str">
        <x:v>Utvärdera parent_group först. Inaktiv grupp gör barnets R/D icke-tillämpligt.</x:v>
      </x:c>
      <x:c r="I20" s="19" t="str"/>
      <x:c r="J20" s="19" t="str">
        <x:v>P §2.2 s.16–22; respektive fältnotering</x:v>
      </x:c>
    </x:row>
    <x:row r="21" ht="64.19999694824219" customHeight="1">
      <x:c r="A21" s="19" t="str">
        <x:v>PC-214-Z06</x:v>
      </x:c>
      <x:c r="B21" s="19" t="str">
        <x:v>214</x:v>
      </x:c>
      <x:c r="C21" s="19" t="str">
        <x:v>Z06</x:v>
      </x:c>
      <x:c r="D21" s="19" t="str">
        <x:v>subtype == F AND meter_stands_expected</x:v>
      </x:c>
      <x:c r="E21" s="19" t="str">
        <x:v>R</x:v>
      </x:c>
      <x:c r="F21" s="19" t="str">
        <x:v>O if subtype IN (E,G) else X</x:v>
      </x:c>
      <x:c r="G21" s="19" t="str">
        <x:v>Stoppa egen sändning tills nödvändiga fakta är kända. Vid mottagning: avgör om fakta kan härledas ur giltigt meddelande/behörig struktur; lokalt kunskapsgap är inte automatiskt externt protokollfel.</x:v>
      </x:c>
      <x:c r="H21" s="19" t="str">
        <x:v>Utvärdera parent_group först. Inaktiv grupp gör barnets R/D icke-tillämpligt.</x:v>
      </x:c>
      <x:c r="I21" s="19" t="str"/>
      <x:c r="J21" s="19" t="str">
        <x:v>P §2.2 s.16–22; respektive fältnotering</x:v>
      </x:c>
    </x:row>
    <x:row r="22" ht="64.19999694824219" customHeight="1">
      <x:c r="A22" s="19" t="str">
        <x:v>PC-214-Z10</x:v>
      </x:c>
      <x:c r="B22" s="19" t="str">
        <x:v>214</x:v>
      </x:c>
      <x:c r="C22" s="19" t="str">
        <x:v>Z10</x:v>
      </x:c>
      <x:c r="D22" s="19" t="str">
        <x:v>meter_stands_expected</x:v>
      </x:c>
      <x:c r="E22" s="19" t="str">
        <x:v>R</x:v>
      </x:c>
      <x:c r="F22" s="19" t="str">
        <x:v>X</x:v>
      </x:c>
      <x:c r="G22" s="19" t="str">
        <x:v>Stoppa egen sändning tills nödvändiga fakta är kända. Vid mottagning: avgör om fakta kan härledas ur giltigt meddelande/behörig struktur; lokalt kunskapsgap är inte automatiskt externt protokollfel.</x:v>
      </x:c>
      <x:c r="H22" s="19" t="str">
        <x:v>Utvärdera parent_group först. Inaktiv grupp gör barnets R/D icke-tillämpligt.</x:v>
      </x:c>
      <x:c r="I22" s="19" t="str"/>
      <x:c r="J22" s="19" t="str">
        <x:v>P §2.2 s.16–22; respektive fältnotering</x:v>
      </x:c>
    </x:row>
    <x:row r="23" ht="64.19999694824219" customHeight="1">
      <x:c r="A23" s="19" t="str">
        <x:v>PC-217-Z06</x:v>
      </x:c>
      <x:c r="B23" s="19" t="str">
        <x:v>217</x:v>
      </x:c>
      <x:c r="C23" s="19" t="str">
        <x:v>Z06</x:v>
      </x:c>
      <x:c r="D23" s="19" t="str">
        <x:v>subtype == F</x:v>
      </x:c>
      <x:c r="E23" s="19" t="str">
        <x:v>R</x:v>
      </x:c>
      <x:c r="F23" s="19" t="str">
        <x:v>O</x:v>
      </x:c>
      <x:c r="G23" s="19" t="str">
        <x:v>Stoppa egen sändning tills nödvändiga fakta är kända. Vid mottagning: avgör om fakta kan härledas ur giltigt meddelande/behörig struktur; lokalt kunskapsgap är inte automatiskt externt protokollfel.</x:v>
      </x:c>
      <x:c r="H23" s="19" t="str">
        <x:v>Utvärdera parent_group först. Inaktiv grupp gör barnets R/D icke-tillämpligt.</x:v>
      </x:c>
      <x:c r="I23" s="19" t="str"/>
      <x:c r="J23" s="19" t="str">
        <x:v>P §2.2 s.16–22; respektive fältnotering</x:v>
      </x:c>
    </x:row>
    <x:row r="24" ht="64.19999694824219" customHeight="1">
      <x:c r="A24" s="19" t="str">
        <x:v>PC-217-Z09</x:v>
      </x:c>
      <x:c r="B24" s="19" t="str">
        <x:v>217</x:v>
      </x:c>
      <x:c r="C24" s="19" t="str">
        <x:v>Z09</x:v>
      </x:c>
      <x:c r="D24" s="19" t="str">
        <x:v>subtype IN (F,G)</x:v>
      </x:c>
      <x:c r="E24" s="19" t="str">
        <x:v>R</x:v>
      </x:c>
      <x:c r="F24" s="19" t="str">
        <x:v>X</x:v>
      </x:c>
      <x:c r="G24" s="19" t="str">
        <x:v>Stoppa egen sändning tills nödvändiga fakta är kända. Vid mottagning: avgör om fakta kan härledas ur giltigt meddelande/behörig struktur; lokalt kunskapsgap är inte automatiskt externt protokollfel.</x:v>
      </x:c>
      <x:c r="H24" s="19" t="str">
        <x:v>Utvärdera parent_group först. Inaktiv grupp gör barnets R/D icke-tillämpligt.</x:v>
      </x:c>
      <x:c r="I24" s="19" t="str">
        <x:v>F =&gt; Z04; G =&gt; Z03, inte kod Z02.</x:v>
      </x:c>
      <x:c r="J24" s="19" t="str">
        <x:v>P §2.2 s.16–22; respektive fältnotering</x:v>
      </x:c>
    </x:row>
    <x:row r="25" ht="64.19999694824219" customHeight="1">
      <x:c r="A25" s="19" t="str">
        <x:v>PC-217-Z14</x:v>
      </x:c>
      <x:c r="B25" s="19" t="str">
        <x:v>217</x:v>
      </x:c>
      <x:c r="C25" s="19" t="str">
        <x:v>Z14</x:v>
      </x:c>
      <x:c r="D25" s="19" t="str">
        <x:v>subtype != N</x:v>
      </x:c>
      <x:c r="E25" s="19" t="str">
        <x:v>R</x:v>
      </x:c>
      <x:c r="F25" s="19" t="str">
        <x:v>X</x:v>
      </x:c>
      <x:c r="G25" s="19" t="str">
        <x:v>Stoppa egen sändning tills nödvändiga fakta är kända. Vid mottagning: avgör om fakta kan härledas ur giltigt meddelande/behörig struktur; lokalt kunskapsgap är inte automatiskt externt protokollfel.</x:v>
      </x:c>
      <x:c r="H25" s="19" t="str">
        <x:v>Utvärdera parent_group först. Inaktiv grupp gör barnets R/D icke-tillämpligt.</x:v>
      </x:c>
      <x:c r="I25" s="19" t="str"/>
      <x:c r="J25" s="19" t="str">
        <x:v>P §2.2 s.16–22; respektive fältnotering</x:v>
      </x:c>
    </x:row>
    <x:row r="26" ht="64.19999694824219" customHeight="1">
      <x:c r="A26" s="19" t="str">
        <x:v>PC-218-Z04</x:v>
      </x:c>
      <x:c r="B26" s="19" t="str">
        <x:v>218</x:v>
      </x:c>
      <x:c r="C26" s="19" t="str">
        <x:v>Z04</x:v>
      </x:c>
      <x:c r="D26" s="19" t="str">
        <x:v>meter_stands_expected</x:v>
      </x:c>
      <x:c r="E26" s="19" t="str">
        <x:v>R</x:v>
      </x:c>
      <x:c r="F26" s="19" t="str">
        <x:v>X</x:v>
      </x:c>
      <x:c r="G26" s="19" t="str">
        <x:v>Stoppa egen sändning tills nödvändiga fakta är kända. Vid mottagning: avgör om fakta kan härledas ur giltigt meddelande/behörig struktur; lokalt kunskapsgap är inte automatiskt externt protokollfel.</x:v>
      </x:c>
      <x:c r="H26" s="19" t="str">
        <x:v>Utvärdera parent_group först. Inaktiv grupp gör barnets R/D icke-tillämpligt.</x:v>
      </x:c>
      <x:c r="I26" s="19" t="str"/>
      <x:c r="J26" s="19" t="str">
        <x:v>P §2.2 s.16–22; respektive fältnotering</x:v>
      </x:c>
    </x:row>
    <x:row r="27" ht="64.19999694824219" customHeight="1">
      <x:c r="A27" s="19" t="str">
        <x:v>PC-218-Z06</x:v>
      </x:c>
      <x:c r="B27" s="19" t="str">
        <x:v>218</x:v>
      </x:c>
      <x:c r="C27" s="19" t="str">
        <x:v>Z06</x:v>
      </x:c>
      <x:c r="D27" s="19" t="str">
        <x:v>subtype == F AND meter_stands_expected</x:v>
      </x:c>
      <x:c r="E27" s="19" t="str">
        <x:v>R</x:v>
      </x:c>
      <x:c r="F27" s="19" t="str">
        <x:v>O if subtype IN (E,G) else X</x:v>
      </x:c>
      <x:c r="G27" s="19" t="str">
        <x:v>Stoppa egen sändning tills nödvändiga fakta är kända. Vid mottagning: avgör om fakta kan härledas ur giltigt meddelande/behörig struktur; lokalt kunskapsgap är inte automatiskt externt protokollfel.</x:v>
      </x:c>
      <x:c r="H27" s="19" t="str">
        <x:v>Utvärdera parent_group först. Inaktiv grupp gör barnets R/D icke-tillämpligt.</x:v>
      </x:c>
      <x:c r="I27" s="19" t="str"/>
      <x:c r="J27" s="19" t="str">
        <x:v>P §2.2 s.16–22; respektive fältnotering</x:v>
      </x:c>
    </x:row>
    <x:row r="28" ht="64.19999694824219" customHeight="1">
      <x:c r="A28" s="19" t="str">
        <x:v>PC-218-Z10</x:v>
      </x:c>
      <x:c r="B28" s="19" t="str">
        <x:v>218</x:v>
      </x:c>
      <x:c r="C28" s="19" t="str">
        <x:v>Z10</x:v>
      </x:c>
      <x:c r="D28" s="19" t="str">
        <x:v>meter_stands_expected</x:v>
      </x:c>
      <x:c r="E28" s="19" t="str">
        <x:v>R</x:v>
      </x:c>
      <x:c r="F28" s="19" t="str">
        <x:v>X</x:v>
      </x:c>
      <x:c r="G28" s="19" t="str">
        <x:v>Stoppa egen sändning tills nödvändiga fakta är kända. Vid mottagning: avgör om fakta kan härledas ur giltigt meddelande/behörig struktur; lokalt kunskapsgap är inte automatiskt externt protokollfel.</x:v>
      </x:c>
      <x:c r="H28" s="19" t="str">
        <x:v>Utvärdera parent_group först. Inaktiv grupp gör barnets R/D icke-tillämpligt.</x:v>
      </x:c>
      <x:c r="I28" s="19" t="str"/>
      <x:c r="J28" s="19" t="str">
        <x:v>P §2.2 s.16–22; respektive fältnotering</x:v>
      </x:c>
    </x:row>
    <x:row r="29" ht="64.19999694824219" customHeight="1">
      <x:c r="A29" s="19" t="str">
        <x:v>PC-306-Z06</x:v>
      </x:c>
      <x:c r="B29" s="19" t="str">
        <x:v>306</x:v>
      </x:c>
      <x:c r="C29" s="19" t="str">
        <x:v>Z06</x:v>
      </x:c>
      <x:c r="D29" s="19" t="str">
        <x:v>subtype IN (F,G)</x:v>
      </x:c>
      <x:c r="E29" s="19" t="str">
        <x:v>R</x:v>
      </x:c>
      <x:c r="F29" s="19" t="str">
        <x:v>O</x:v>
      </x:c>
      <x:c r="G29" s="19" t="str">
        <x:v>Stoppa egen sändning tills nödvändiga fakta är kända. Vid mottagning: avgör om fakta kan härledas ur giltigt meddelande/behörig struktur; lokalt kunskapsgap är inte automatiskt externt protokollfel.</x:v>
      </x:c>
      <x:c r="H29" s="19" t="str">
        <x:v>Utvärdera parent_group först. Inaktiv grupp gör barnets R/D icke-tillämpligt.</x:v>
      </x:c>
      <x:c r="I29" s="19" t="str"/>
      <x:c r="J29" s="19" t="str">
        <x:v>P §2.2 s.16–22; respektive fältnotering</x:v>
      </x:c>
    </x:row>
    <x:row r="30" ht="64.19999694824219" customHeight="1">
      <x:c r="A30" s="19" t="str">
        <x:v>PC-222-Z14</x:v>
      </x:c>
      <x:c r="B30" s="19" t="str">
        <x:v>222</x:v>
      </x:c>
      <x:c r="C30" s="19" t="str">
        <x:v>Z14</x:v>
      </x:c>
      <x:c r="D30" s="19" t="str">
        <x:v>subtype != N</x:v>
      </x:c>
      <x:c r="E30" s="19" t="str">
        <x:v>R</x:v>
      </x:c>
      <x:c r="F30" s="19" t="str">
        <x:v>X</x:v>
      </x:c>
      <x:c r="G30" s="19" t="str">
        <x:v>Stoppa egen sändning tills nödvändiga fakta är kända. Vid mottagning: avgör om fakta kan härledas ur giltigt meddelande/behörig struktur; lokalt kunskapsgap är inte automatiskt externt protokollfel.</x:v>
      </x:c>
      <x:c r="H30" s="19" t="str">
        <x:v>Utvärdera parent_group först. Inaktiv grupp gör barnets R/D icke-tillämpligt.</x:v>
      </x:c>
      <x:c r="I30" s="19" t="str"/>
      <x:c r="J30" s="19" t="str">
        <x:v>P §2.2 s.16–22; respektive fältnotering</x:v>
      </x:c>
    </x:row>
    <x:row r="31" ht="64.19999694824219" customHeight="1">
      <x:c r="A31" s="19" t="str">
        <x:v>PC-259-Z04</x:v>
      </x:c>
      <x:c r="B31" s="19" t="str">
        <x:v>259</x:v>
      </x:c>
      <x:c r="C31" s="19" t="str">
        <x:v>Z04</x:v>
      </x:c>
      <x:c r="D31" s="19" t="str">
        <x:v>meter_stands_expected</x:v>
      </x:c>
      <x:c r="E31" s="19" t="str">
        <x:v>R</x:v>
      </x:c>
      <x:c r="F31" s="19" t="str">
        <x:v>X</x:v>
      </x:c>
      <x:c r="G31" s="19" t="str">
        <x:v>Stoppa egen sändning tills nödvändiga fakta är kända. Vid mottagning: avgör om fakta kan härledas ur giltigt meddelande/behörig struktur; lokalt kunskapsgap är inte automatiskt externt protokollfel.</x:v>
      </x:c>
      <x:c r="H31" s="19" t="str">
        <x:v>Utvärdera parent_group först. Inaktiv grupp gör barnets R/D icke-tillämpligt.</x:v>
      </x:c>
      <x:c r="I31" s="19" t="str"/>
      <x:c r="J31" s="19" t="str">
        <x:v>P §2.2 s.16–22; respektive fältnotering</x:v>
      </x:c>
    </x:row>
    <x:row r="32" ht="64.19999694824219" customHeight="1">
      <x:c r="A32" s="19" t="str">
        <x:v>PC-259-Z06</x:v>
      </x:c>
      <x:c r="B32" s="19" t="str">
        <x:v>259</x:v>
      </x:c>
      <x:c r="C32" s="19" t="str">
        <x:v>Z06</x:v>
      </x:c>
      <x:c r="D32" s="19" t="str">
        <x:v>subtype == F AND meter_stands_expected</x:v>
      </x:c>
      <x:c r="E32" s="19" t="str">
        <x:v>R</x:v>
      </x:c>
      <x:c r="F32" s="19" t="str">
        <x:v>O if subtype IN (E,G) AND meter_stands_expected else X</x:v>
      </x:c>
      <x:c r="G32" s="19" t="str">
        <x:v>Stoppa egen sändning tills nödvändiga fakta är kända. Vid mottagning: avgör om fakta kan härledas ur giltigt meddelande/behörig struktur; lokalt kunskapsgap är inte automatiskt externt protokollfel.</x:v>
      </x:c>
      <x:c r="H32" s="19" t="str">
        <x:v>Utvärdera parent_group först. Inaktiv grupp gör barnets R/D icke-tillämpligt.</x:v>
      </x:c>
      <x:c r="I32" s="19" t="str">
        <x:v>Ytterligare EL-villkor: utan rapportering av mätarställningar får 259 inte skickas alls; då X, inte O.</x:v>
      </x:c>
      <x:c r="J32" s="19" t="str">
        <x:v>P §2.2 s.16–22; respektive fältnotering</x:v>
      </x:c>
    </x:row>
    <x:row r="33" ht="64.19999694824219" customHeight="1">
      <x:c r="A33" s="19" t="str">
        <x:v>PC-259-Z10</x:v>
      </x:c>
      <x:c r="B33" s="19" t="str">
        <x:v>259</x:v>
      </x:c>
      <x:c r="C33" s="19" t="str">
        <x:v>Z10</x:v>
      </x:c>
      <x:c r="D33" s="19" t="str">
        <x:v>meter_stands_expected</x:v>
      </x:c>
      <x:c r="E33" s="19" t="str">
        <x:v>R</x:v>
      </x:c>
      <x:c r="F33" s="19" t="str">
        <x:v>X</x:v>
      </x:c>
      <x:c r="G33" s="19" t="str">
        <x:v>Stoppa egen sändning tills nödvändiga fakta är kända. Vid mottagning: avgör om fakta kan härledas ur giltigt meddelande/behörig struktur; lokalt kunskapsgap är inte automatiskt externt protokollfel.</x:v>
      </x:c>
      <x:c r="H33" s="19" t="str">
        <x:v>Utvärdera parent_group först. Inaktiv grupp gör barnets R/D icke-tillämpligt.</x:v>
      </x:c>
      <x:c r="I33" s="19" t="str"/>
      <x:c r="J33" s="19" t="str">
        <x:v>P §2.2 s.16–22; respektive fältnotering</x:v>
      </x:c>
    </x:row>
    <x:row r="34" ht="64.19999694824219" customHeight="1">
      <x:c r="A34" s="19" t="str">
        <x:v>PC-254-Z06</x:v>
      </x:c>
      <x:c r="B34" s="19" t="str">
        <x:v>254</x:v>
      </x:c>
      <x:c r="C34" s="19" t="str">
        <x:v>Z06</x:v>
      </x:c>
      <x:c r="D34" s="19" t="str">
        <x:v>subtype IN (F,G)</x:v>
      </x:c>
      <x:c r="E34" s="19" t="str">
        <x:v>R</x:v>
      </x:c>
      <x:c r="F34" s="19" t="str">
        <x:v>O</x:v>
      </x:c>
      <x:c r="G34" s="19" t="str">
        <x:v>Stoppa egen sändning tills nödvändiga fakta är kända. Vid mottagning: avgör om fakta kan härledas ur giltigt meddelande/behörig struktur; lokalt kunskapsgap är inte automatiskt externt protokollfel.</x:v>
      </x:c>
      <x:c r="H34" s="19" t="str">
        <x:v>Utvärdera parent_group först. Inaktiv grupp gör barnets R/D icke-tillämpligt.</x:v>
      </x:c>
      <x:c r="I34" s="19" t="str"/>
      <x:c r="J34" s="19" t="str">
        <x:v>P §2.2 s.16–22; respektive fältnotering</x:v>
      </x:c>
    </x:row>
    <x:row r="35" ht="64.19999694824219" customHeight="1">
      <x:c r="A35" s="19" t="str">
        <x:v>PC-254-Z10</x:v>
      </x:c>
      <x:c r="B35" s="19" t="str">
        <x:v>254</x:v>
      </x:c>
      <x:c r="C35" s="19" t="str">
        <x:v>Z10</x:v>
      </x:c>
      <x:c r="D35" s="19" t="str">
        <x:v>settlement_method_changed OR new_meter_below_profile_threshold</x:v>
      </x:c>
      <x:c r="E35" s="19" t="str">
        <x:v>R</x:v>
      </x:c>
      <x:c r="F35" s="19" t="str">
        <x:v>O</x:v>
      </x:c>
      <x:c r="G35" s="19" t="str">
        <x:v>Stoppa egen sändning tills nödvändiga fakta är kända. Vid mottagning: avgör om fakta kan härledas ur giltigt meddelande/behörig struktur; lokalt kunskapsgap är inte automatiskt externt protokollfel.</x:v>
      </x:c>
      <x:c r="H35" s="19" t="str">
        <x:v>Utvärdera parent_group först. Inaktiv grupp gör barnets R/D icke-tillämpligt.</x:v>
      </x:c>
      <x:c r="I35" s="19" t="str"/>
      <x:c r="J35" s="19" t="str">
        <x:v>P §2.2 s.16–22; respektive fältnotering</x:v>
      </x:c>
    </x:row>
    <x:row r="36" ht="64.19999694824219" customHeight="1">
      <x:c r="A36" s="19" t="str">
        <x:v>PC-242-Z06</x:v>
      </x:c>
      <x:c r="B36" s="19" t="str">
        <x:v>242</x:v>
      </x:c>
      <x:c r="C36" s="19" t="str">
        <x:v>Z06</x:v>
      </x:c>
      <x:c r="D36" s="19" t="str">
        <x:v>subtype IN (F,G)</x:v>
      </x:c>
      <x:c r="E36" s="19" t="str">
        <x:v>R</x:v>
      </x:c>
      <x:c r="F36" s="19" t="str">
        <x:v>O</x:v>
      </x:c>
      <x:c r="G36" s="19" t="str">
        <x:v>Stoppa egen sändning tills nödvändiga fakta är kända. Vid mottagning: avgör om fakta kan härledas ur giltigt meddelande/behörig struktur; lokalt kunskapsgap är inte automatiskt externt protokollfel.</x:v>
      </x:c>
      <x:c r="H36" s="19" t="str">
        <x:v>Utvärdera parent_group först. Inaktiv grupp gör barnets R/D icke-tillämpligt.</x:v>
      </x:c>
      <x:c r="I36" s="19" t="str"/>
      <x:c r="J36" s="19" t="str">
        <x:v>P §2.2 s.16–22; respektive fältnotering</x:v>
      </x:c>
    </x:row>
    <x:row r="37" ht="64.19999694824219" customHeight="1">
      <x:c r="A37" s="19" t="str">
        <x:v>PC-242-Z10</x:v>
      </x:c>
      <x:c r="B37" s="19" t="str">
        <x:v>242</x:v>
      </x:c>
      <x:c r="C37" s="19" t="str">
        <x:v>Z10</x:v>
      </x:c>
      <x:c r="D37" s="19" t="str">
        <x:v>market == EL AND aggregation_product_changed</x:v>
      </x:c>
      <x:c r="E37" s="19" t="str">
        <x:v>R</x:v>
      </x:c>
      <x:c r="F37" s="19" t="str">
        <x:v>O</x:v>
      </x:c>
      <x:c r="G37" s="19" t="str">
        <x:v>Stoppa egen sändning tills nödvändiga fakta är kända. Vid mottagning: avgör om fakta kan härledas ur giltigt meddelande/behörig struktur; lokalt kunskapsgap är inte automatiskt externt protokollfel.</x:v>
      </x:c>
      <x:c r="H37" s="19" t="str">
        <x:v>Utvärdera parent_group först. Inaktiv grupp gör barnets R/D icke-tillämpligt.</x:v>
      </x:c>
      <x:c r="I37" s="19" t="str"/>
      <x:c r="J37" s="19" t="str">
        <x:v>P §2.2 s.16–22; respektive fältnotering</x:v>
      </x:c>
    </x:row>
    <x:row r="38" ht="64.19999694824219" customHeight="1">
      <x:c r="A38" s="19" t="str">
        <x:v>PC-506-Z14</x:v>
      </x:c>
      <x:c r="B38" s="19" t="str">
        <x:v>506</x:v>
      </x:c>
      <x:c r="C38" s="19" t="str">
        <x:v>Z14</x:v>
      </x:c>
      <x:c r="D38" s="19" t="str">
        <x:v>subtype != N</x:v>
      </x:c>
      <x:c r="E38" s="19" t="str">
        <x:v>R</x:v>
      </x:c>
      <x:c r="F38" s="19" t="str">
        <x:v>X</x:v>
      </x:c>
      <x:c r="G38" s="19" t="str">
        <x:v>Stoppa egen sändning tills nödvändiga fakta är kända. Vid mottagning: avgör om fakta kan härledas ur giltigt meddelande/behörig struktur; lokalt kunskapsgap är inte automatiskt externt protokollfel.</x:v>
      </x:c>
      <x:c r="H38" s="19" t="str">
        <x:v>Utvärdera parent_group först. Inaktiv grupp gör barnets R/D icke-tillämpligt.</x:v>
      </x:c>
      <x:c r="I38" s="19" t="str"/>
      <x:c r="J38" s="19" t="str">
        <x:v>P §2.2 s.16–22; respektive fältnotering</x:v>
      </x:c>
    </x:row>
    <x:row r="39" ht="64.19999694824219" customHeight="1">
      <x:c r="A39" s="19" t="str">
        <x:v>PC-310-Z05</x:v>
      </x:c>
      <x:c r="B39" s="19" t="str">
        <x:v>310</x:v>
      </x:c>
      <x:c r="C39" s="19" t="str">
        <x:v>Z05</x:v>
      </x:c>
      <x:c r="D39" s="19" t="str">
        <x:v>customer_event == death AND ((message == Z05 AND subtype == LK) OR (message IN (Z06,Z09) AND subtype == E))</x:v>
      </x:c>
      <x:c r="E39" s="19" t="str">
        <x:v>R</x:v>
      </x:c>
      <x:c r="F39" s="19" t="str">
        <x:v>X</x:v>
      </x:c>
      <x:c r="G39" s="19" t="str">
        <x:v>Stoppa egen sändning tills nödvändiga fakta är kända. Vid mottagning: avgör om fakta kan härledas ur giltigt meddelande/behörig struktur; lokalt kunskapsgap är inte automatiskt externt protokollfel.</x:v>
      </x:c>
      <x:c r="H39" s="19" t="str">
        <x:v>Utvärdera parent_group först. Inaktiv grupp gör barnets R/D icke-tillämpligt.</x:v>
      </x:c>
      <x:c r="I39" s="19" t="str">
        <x:v>Inte generell status för konkurs.</x:v>
      </x:c>
      <x:c r="J39" s="19" t="str">
        <x:v>P §2.2 s.16–22; respektive fältnotering</x:v>
      </x:c>
    </x:row>
    <x:row r="40" ht="64.19999694824219" customHeight="1">
      <x:c r="A40" s="19" t="str">
        <x:v>PC-310-Z06</x:v>
      </x:c>
      <x:c r="B40" s="19" t="str">
        <x:v>310</x:v>
      </x:c>
      <x:c r="C40" s="19" t="str">
        <x:v>Z06</x:v>
      </x:c>
      <x:c r="D40" s="19" t="str">
        <x:v>customer_event == death AND ((message == Z05 AND subtype == LK) OR (message IN (Z06,Z09) AND subtype == E))</x:v>
      </x:c>
      <x:c r="E40" s="19" t="str">
        <x:v>R</x:v>
      </x:c>
      <x:c r="F40" s="19" t="str">
        <x:v>X</x:v>
      </x:c>
      <x:c r="G40" s="19" t="str">
        <x:v>Stoppa egen sändning tills nödvändiga fakta är kända. Vid mottagning: avgör om fakta kan härledas ur giltigt meddelande/behörig struktur; lokalt kunskapsgap är inte automatiskt externt protokollfel.</x:v>
      </x:c>
      <x:c r="H40" s="19" t="str">
        <x:v>Utvärdera parent_group först. Inaktiv grupp gör barnets R/D icke-tillämpligt.</x:v>
      </x:c>
      <x:c r="I40" s="19" t="str">
        <x:v>Inte generell status för konkurs.</x:v>
      </x:c>
      <x:c r="J40" s="19" t="str">
        <x:v>P §2.2 s.16–22; respektive fältnotering</x:v>
      </x:c>
    </x:row>
    <x:row r="41" ht="64.19999694824219" customHeight="1">
      <x:c r="A41" s="19" t="str">
        <x:v>PC-310-Z09</x:v>
      </x:c>
      <x:c r="B41" s="19" t="str">
        <x:v>310</x:v>
      </x:c>
      <x:c r="C41" s="19" t="str">
        <x:v>Z09</x:v>
      </x:c>
      <x:c r="D41" s="19" t="str">
        <x:v>customer_event == death AND ((message == Z05 AND subtype == LK) OR (message IN (Z06,Z09) AND subtype == E))</x:v>
      </x:c>
      <x:c r="E41" s="19" t="str">
        <x:v>R</x:v>
      </x:c>
      <x:c r="F41" s="19" t="str">
        <x:v>X</x:v>
      </x:c>
      <x:c r="G41" s="19" t="str">
        <x:v>Stoppa egen sändning tills nödvändiga fakta är kända. Vid mottagning: avgör om fakta kan härledas ur giltigt meddelande/behörig struktur; lokalt kunskapsgap är inte automatiskt externt protokollfel.</x:v>
      </x:c>
      <x:c r="H41" s="19" t="str">
        <x:v>Utvärdera parent_group först. Inaktiv grupp gör barnets R/D icke-tillämpligt.</x:v>
      </x:c>
      <x:c r="I41" s="19" t="str">
        <x:v>Inte generell status för konkurs.</x:v>
      </x:c>
      <x:c r="J41" s="19" t="str">
        <x:v>P §2.2 s.16–22; respektive fältnotering</x:v>
      </x:c>
    </x:row>
    <x:row r="42" ht="64.19999694824219" customHeight="1">
      <x:c r="A42" s="19" t="str">
        <x:v>PC-513-Z14</x:v>
      </x:c>
      <x:c r="B42" s="19" t="str">
        <x:v>513</x:v>
      </x:c>
      <x:c r="C42" s="19" t="str">
        <x:v>Z14</x:v>
      </x:c>
      <x:c r="D42" s="19" t="str">
        <x:v>subtype != N</x:v>
      </x:c>
      <x:c r="E42" s="19" t="str">
        <x:v>R</x:v>
      </x:c>
      <x:c r="F42" s="19" t="str">
        <x:v>X</x:v>
      </x:c>
      <x:c r="G42" s="19" t="str">
        <x:v>Stoppa egen sändning tills nödvändiga fakta är kända. Vid mottagning: avgör om fakta kan härledas ur giltigt meddelande/behörig struktur; lokalt kunskapsgap är inte automatiskt externt protokollfel.</x:v>
      </x:c>
      <x:c r="H42" s="19" t="str">
        <x:v>Utvärdera parent_group först. Inaktiv grupp gör barnets R/D icke-tillämpligt.</x:v>
      </x:c>
      <x:c r="I42" s="19" t="str"/>
      <x:c r="J42" s="19" t="str">
        <x:v>P §2.2 s.16–22; respektive fältnotering</x:v>
      </x:c>
    </x:row>
    <x:row r="43" ht="64.19999694824219" customHeight="1">
      <x:c r="A43" s="19" t="str">
        <x:v>PC-323-Z13</x:v>
      </x:c>
      <x:c r="B43" s="19" t="str">
        <x:v>323</x:v>
      </x:c>
      <x:c r="C43" s="19" t="str">
        <x:v>Z13</x:v>
      </x:c>
      <x:c r="D43" s="19" t="str">
        <x:v>customer_kind == private</x:v>
      </x:c>
      <x:c r="E43" s="19" t="str">
        <x:v>R</x:v>
      </x:c>
      <x:c r="F43" s="19" t="str">
        <x:v>X</x:v>
      </x:c>
      <x:c r="G43" s="19" t="str">
        <x:v>Stoppa egen sändning tills nödvändiga fakta är kända. Vid mottagning: avgör om fakta kan härledas ur giltigt meddelande/behörig struktur; lokalt kunskapsgap är inte automatiskt externt protokollfel.</x:v>
      </x:c>
      <x:c r="H43" s="19" t="str">
        <x:v>Utvärdera parent_group först. Inaktiv grupp gör barnets R/D icke-tillämpligt.</x:v>
      </x:c>
      <x:c r="I43" s="19" t="str"/>
      <x:c r="J43" s="19" t="str">
        <x:v>P §2.2 s.16–22; respektive fältnotering</x:v>
      </x:c>
    </x:row>
    <x:row r="44" ht="64.19999694824219" customHeight="1">
      <x:c r="A44" s="19" t="str">
        <x:v>PC-323-Z14</x:v>
      </x:c>
      <x:c r="B44" s="19" t="str">
        <x:v>323</x:v>
      </x:c>
      <x:c r="C44" s="19" t="str">
        <x:v>Z14</x:v>
      </x:c>
      <x:c r="D44" s="19" t="str">
        <x:v>subtype != N AND customer_kind == private</x:v>
      </x:c>
      <x:c r="E44" s="19" t="str">
        <x:v>R</x:v>
      </x:c>
      <x:c r="F44" s="19" t="str">
        <x:v>X</x:v>
      </x:c>
      <x:c r="G44" s="19" t="str">
        <x:v>Stoppa egen sändning tills nödvändiga fakta är kända. Vid mottagning: avgör om fakta kan härledas ur giltigt meddelande/behörig struktur; lokalt kunskapsgap är inte automatiskt externt protokollfel.</x:v>
      </x:c>
      <x:c r="H44" s="19" t="str">
        <x:v>Utvärdera parent_group först. Inaktiv grupp gör barnets R/D icke-tillämpligt.</x:v>
      </x:c>
      <x:c r="I44" s="19" t="str"/>
      <x:c r="J44" s="19" t="str">
        <x:v>P §2.2 s.16–22; respektive fältnotering</x:v>
      </x:c>
    </x:row>
    <x:row r="45" ht="64.19999694824219" customHeight="1">
      <x:c r="A45" s="19" t="str">
        <x:v>PC-260-Z14</x:v>
      </x:c>
      <x:c r="B45" s="19" t="str">
        <x:v>260</x:v>
      </x:c>
      <x:c r="C45" s="19" t="str">
        <x:v>Z14</x:v>
      </x:c>
      <x:c r="D45" s="19" t="str">
        <x:v>subtype != N</x:v>
      </x:c>
      <x:c r="E45" s="19" t="str">
        <x:v>R</x:v>
      </x:c>
      <x:c r="F45" s="19" t="str">
        <x:v>X</x:v>
      </x:c>
      <x:c r="G45" s="19" t="str">
        <x:v>Stoppa egen sändning tills nödvändiga fakta är kända. Vid mottagning: avgör om fakta kan härledas ur giltigt meddelande/behörig struktur; lokalt kunskapsgap är inte automatiskt externt protokollfel.</x:v>
      </x:c>
      <x:c r="H45" s="19" t="str">
        <x:v>Utvärdera parent_group först. Inaktiv grupp gör barnets R/D icke-tillämpligt.</x:v>
      </x:c>
      <x:c r="I45" s="19" t="str"/>
      <x:c r="J45" s="19" t="str">
        <x:v>P §2.2 s.16–22; respektive fältnotering</x:v>
      </x:c>
    </x:row>
    <x:row r="46" ht="64.19999694824219" customHeight="1">
      <x:c r="A46" s="19" t="str">
        <x:v>PC-320-Z04</x:v>
      </x:c>
      <x:c r="B46" s="19" t="str">
        <x:v>320</x:v>
      </x:c>
      <x:c r="C46" s="19" t="str">
        <x:v>Z04</x:v>
      </x:c>
      <x:c r="D46" s="19" t="str">
        <x:v>market == GAS AND (message == Z04 OR subtype IN (F,G))</x:v>
      </x:c>
      <x:c r="E46" s="19" t="str">
        <x:v>R</x:v>
      </x:c>
      <x:c r="F46" s="19" t="str">
        <x:v>X</x:v>
      </x:c>
      <x:c r="G46" s="19" t="str">
        <x:v>Stoppa egen sändning tills nödvändiga fakta är kända. Vid mottagning: avgör om fakta kan härledas ur giltigt meddelande/behörig struktur; lokalt kunskapsgap är inte automatiskt externt protokollfel.</x:v>
      </x:c>
      <x:c r="H46" s="19" t="str">
        <x:v>Utvärdera parent_group först. Inaktiv grupp gör barnets R/D icke-tillämpligt.</x:v>
      </x:c>
      <x:c r="I46" s="19" t="str"/>
      <x:c r="J46" s="19" t="str">
        <x:v>P §2.2 s.16–22; respektive fältnotering</x:v>
      </x:c>
    </x:row>
    <x:row r="47" ht="64.19999694824219" customHeight="1">
      <x:c r="A47" s="19" t="str">
        <x:v>PC-320-Z06</x:v>
      </x:c>
      <x:c r="B47" s="19" t="str">
        <x:v>320</x:v>
      </x:c>
      <x:c r="C47" s="19" t="str">
        <x:v>Z06</x:v>
      </x:c>
      <x:c r="D47" s="19" t="str">
        <x:v>market == GAS AND (message == Z04 OR subtype IN (F,G))</x:v>
      </x:c>
      <x:c r="E47" s="19" t="str">
        <x:v>R</x:v>
      </x:c>
      <x:c r="F47" s="19" t="str">
        <x:v>X</x:v>
      </x:c>
      <x:c r="G47" s="19" t="str">
        <x:v>Stoppa egen sändning tills nödvändiga fakta är kända. Vid mottagning: avgör om fakta kan härledas ur giltigt meddelande/behörig struktur; lokalt kunskapsgap är inte automatiskt externt protokollfel.</x:v>
      </x:c>
      <x:c r="H47" s="19" t="str">
        <x:v>Utvärdera parent_group först. Inaktiv grupp gör barnets R/D icke-tillämpligt.</x:v>
      </x:c>
      <x:c r="I47" s="19" t="str"/>
      <x:c r="J47" s="19" t="str">
        <x:v>P §2.2 s.16–22; respektive fältnotering</x:v>
      </x:c>
    </x:row>
    <x:row r="48" ht="64.19999694824219" customHeight="1">
      <x:c r="A48" s="19" t="str">
        <x:v>PC-240-Z04</x:v>
      </x:c>
      <x:c r="B48" s="19" t="str">
        <x:v>240</x:v>
      </x:c>
      <x:c r="C48" s="19" t="str">
        <x:v>Z04</x:v>
      </x:c>
      <x:c r="D48" s="19" t="str">
        <x:v>market == GAS AND (message == Z04 OR series_id_changed)</x:v>
      </x:c>
      <x:c r="E48" s="19" t="str">
        <x:v>R</x:v>
      </x:c>
      <x:c r="F48" s="19" t="str">
        <x:v>X</x:v>
      </x:c>
      <x:c r="G48" s="19" t="str">
        <x:v>Stoppa egen sändning tills nödvändiga fakta är kända. Vid mottagning: avgör om fakta kan härledas ur giltigt meddelande/behörig struktur; lokalt kunskapsgap är inte automatiskt externt protokollfel.</x:v>
      </x:c>
      <x:c r="H48" s="19" t="str">
        <x:v>Utvärdera parent_group först. Inaktiv grupp gör barnets R/D icke-tillämpligt.</x:v>
      </x:c>
      <x:c r="I48" s="19" t="str">
        <x:v>EL: alltid X. Nationella gasregler ska inte tillämpas som elregler.</x:v>
      </x:c>
      <x:c r="J48" s="19" t="str">
        <x:v>P §2.2 s.16–22; respektive fältnotering</x:v>
      </x:c>
    </x:row>
    <x:row r="49" ht="64.19999694824219" customHeight="1">
      <x:c r="A49" s="19" t="str">
        <x:v>PC-240-Z06</x:v>
      </x:c>
      <x:c r="B49" s="19" t="str">
        <x:v>240</x:v>
      </x:c>
      <x:c r="C49" s="19" t="str">
        <x:v>Z06</x:v>
      </x:c>
      <x:c r="D49" s="19" t="str">
        <x:v>market == GAS AND (message == Z04 OR series_id_changed)</x:v>
      </x:c>
      <x:c r="E49" s="19" t="str">
        <x:v>R</x:v>
      </x:c>
      <x:c r="F49" s="19" t="str">
        <x:v>O</x:v>
      </x:c>
      <x:c r="G49" s="19" t="str">
        <x:v>Stoppa egen sändning tills nödvändiga fakta är kända. Vid mottagning: avgör om fakta kan härledas ur giltigt meddelande/behörig struktur; lokalt kunskapsgap är inte automatiskt externt protokollfel.</x:v>
      </x:c>
      <x:c r="H49" s="19" t="str">
        <x:v>Utvärdera parent_group först. Inaktiv grupp gör barnets R/D icke-tillämpligt.</x:v>
      </x:c>
      <x:c r="I49" s="19" t="str">
        <x:v>EL: alltid X. Nationella gasregler ska inte tillämpas som elregler.</x:v>
      </x:c>
      <x:c r="J49" s="19" t="str">
        <x:v>P §2.2 s.16–22; respektive fältnotering</x:v>
      </x:c>
    </x:row>
    <x:row r="50" ht="64.19999694824219" customHeight="1">
      <x:c r="A50" s="19" t="str">
        <x:v>PC-240-Z10</x:v>
      </x:c>
      <x:c r="B50" s="19" t="str">
        <x:v>240</x:v>
      </x:c>
      <x:c r="C50" s="19" t="str">
        <x:v>Z10</x:v>
      </x:c>
      <x:c r="D50" s="19" t="str">
        <x:v>market == GAS AND (message == Z04 OR series_id_changed)</x:v>
      </x:c>
      <x:c r="E50" s="19" t="str">
        <x:v>R</x:v>
      </x:c>
      <x:c r="F50" s="19" t="str">
        <x:v>O</x:v>
      </x:c>
      <x:c r="G50" s="19" t="str">
        <x:v>Stoppa egen sändning tills nödvändiga fakta är kända. Vid mottagning: avgör om fakta kan härledas ur giltigt meddelande/behörig struktur; lokalt kunskapsgap är inte automatiskt externt protokollfel.</x:v>
      </x:c>
      <x:c r="H50" s="19" t="str">
        <x:v>Utvärdera parent_group först. Inaktiv grupp gör barnets R/D icke-tillämpligt.</x:v>
      </x:c>
      <x:c r="I50" s="19" t="str">
        <x:v>EL: alltid X. Nationella gasregler ska inte tillämpas som elregler.</x:v>
      </x:c>
      <x:c r="J50" s="19" t="str">
        <x:v>P §2.2 s.16–22; respektive fältnotering</x:v>
      </x:c>
    </x:row>
    <x:row r="51" ht="64.19999694824219" customHeight="1">
      <x:c r="A51" s="19" t="str">
        <x:v>PC-319-Z04</x:v>
      </x:c>
      <x:c r="B51" s="19" t="str">
        <x:v>319</x:v>
      </x:c>
      <x:c r="C51" s="19" t="str">
        <x:v>Z04</x:v>
      </x:c>
      <x:c r="D51" s="19" t="str">
        <x:v>subtype == D</x:v>
      </x:c>
      <x:c r="E51" s="19" t="str">
        <x:v>R</x:v>
      </x:c>
      <x:c r="F51" s="19" t="str">
        <x:v>X</x:v>
      </x:c>
      <x:c r="G51" s="19" t="str">
        <x:v>Stoppa egen sändning tills nödvändiga fakta är kända. Vid mottagning: avgör om fakta kan härledas ur giltigt meddelande/behörig struktur; lokalt kunskapsgap är inte automatiskt externt protokollfel.</x:v>
      </x:c>
      <x:c r="H51" s="19" t="str">
        <x:v>Utvärdera parent_group först. Inaktiv grupp gör barnets R/D icke-tillämpligt.</x:v>
      </x:c>
      <x:c r="I51" s="19" t="str"/>
      <x:c r="J51" s="19" t="str">
        <x:v>P §2.2 s.16–22; respektive fältnotering</x:v>
      </x:c>
    </x:row>
    <x:row r="52" ht="64.19999694824219" customHeight="1">
      <x:c r="A52" s="19" t="str">
        <x:v>PC-325-Z14</x:v>
      </x:c>
      <x:c r="B52" s="19" t="str">
        <x:v>325</x:v>
      </x:c>
      <x:c r="C52" s="19" t="str">
        <x:v>Z14</x:v>
      </x:c>
      <x:c r="D52" s="19" t="str">
        <x:v>subtype != N</x:v>
      </x:c>
      <x:c r="E52" s="19" t="str">
        <x:v>R</x:v>
      </x:c>
      <x:c r="F52" s="19" t="str">
        <x:v>X</x:v>
      </x:c>
      <x:c r="G52" s="19" t="str">
        <x:v>Stoppa egen sändning tills nödvändiga fakta är kända. Vid mottagning: avgör om fakta kan härledas ur giltigt meddelande/behörig struktur; lokalt kunskapsgap är inte automatiskt externt protokollfel.</x:v>
      </x:c>
      <x:c r="H52" s="19" t="str">
        <x:v>Utvärdera parent_group först. Inaktiv grupp gör barnets R/D icke-tillämpligt.</x:v>
      </x:c>
      <x:c r="I52" s="19" t="str"/>
      <x:c r="J52" s="19" t="str">
        <x:v>P §2.2 s.16–22; respektive fältnotering</x:v>
      </x:c>
    </x:row>
    <x:row r="53" ht="64.19999694824219" customHeight="1">
      <x:c r="A53" s="19" t="str">
        <x:v>PC-227-Z06</x:v>
      </x:c>
      <x:c r="B53" s="19" t="str">
        <x:v>227</x:v>
      </x:c>
      <x:c r="C53" s="19" t="str">
        <x:v>Z06</x:v>
      </x:c>
      <x:c r="D53" s="19" t="str">
        <x:v>subtype == E</x:v>
      </x:c>
      <x:c r="E53" s="19" t="str">
        <x:v>R</x:v>
      </x:c>
      <x:c r="F53" s="19" t="str">
        <x:v>X</x:v>
      </x:c>
      <x:c r="G53" s="19" t="str">
        <x:v>Stoppa egen sändning tills nödvändiga fakta är kända. Vid mottagning: avgör om fakta kan härledas ur giltigt meddelande/behörig struktur; lokalt kunskapsgap är inte automatiskt externt protokollfel.</x:v>
      </x:c>
      <x:c r="H53" s="19" t="str">
        <x:v>Utvärdera parent_group först. Inaktiv grupp gör barnets R/D icke-tillämpligt.</x:v>
      </x:c>
      <x:c r="I53" s="19" t="str"/>
      <x:c r="J53" s="19" t="str">
        <x:v>P §2.2 s.16–22; respektive fältnotering</x:v>
      </x:c>
    </x:row>
    <x:row r="54" ht="64.19999694824219" customHeight="1">
      <x:c r="A54" s="19" t="str">
        <x:v>PC-227-Z09</x:v>
      </x:c>
      <x:c r="B54" s="19" t="str">
        <x:v>227</x:v>
      </x:c>
      <x:c r="C54" s="19" t="str">
        <x:v>Z09</x:v>
      </x:c>
      <x:c r="D54" s="19" t="str">
        <x:v>subtype == E</x:v>
      </x:c>
      <x:c r="E54" s="19" t="str">
        <x:v>R</x:v>
      </x:c>
      <x:c r="F54" s="19" t="str">
        <x:v>X</x:v>
      </x:c>
      <x:c r="G54" s="19" t="str">
        <x:v>Stoppa egen sändning tills nödvändiga fakta är kända. Vid mottagning: avgör om fakta kan härledas ur giltigt meddelande/behörig struktur; lokalt kunskapsgap är inte automatiskt externt protokollfel.</x:v>
      </x:c>
      <x:c r="H54" s="19" t="str">
        <x:v>Utvärdera parent_group först. Inaktiv grupp gör barnets R/D icke-tillämpligt.</x:v>
      </x:c>
      <x:c r="I54" s="19" t="str"/>
      <x:c r="J54" s="19" t="str">
        <x:v>P §2.2 s.16–22; respektive fältnotering</x:v>
      </x:c>
    </x:row>
    <x:row r="55" ht="64.19999694824219" customHeight="1">
      <x:c r="A55" s="19" t="str">
        <x:v>PC-227-Z14</x:v>
      </x:c>
      <x:c r="B55" s="19" t="str">
        <x:v>227</x:v>
      </x:c>
      <x:c r="C55" s="19" t="str">
        <x:v>Z14</x:v>
      </x:c>
      <x:c r="D55" s="19" t="str">
        <x:v>subtype != N</x:v>
      </x:c>
      <x:c r="E55" s="19" t="str">
        <x:v>R</x:v>
      </x:c>
      <x:c r="F55" s="19" t="str">
        <x:v>X</x:v>
      </x:c>
      <x:c r="G55" s="19" t="str">
        <x:v>Stoppa egen sändning tills nödvändiga fakta är kända. Vid mottagning: avgör om fakta kan härledas ur giltigt meddelande/behörig struktur; lokalt kunskapsgap är inte automatiskt externt protokollfel.</x:v>
      </x:c>
      <x:c r="H55" s="19" t="str">
        <x:v>Utvärdera parent_group först. Inaktiv grupp gör barnets R/D icke-tillämpligt.</x:v>
      </x:c>
      <x:c r="I55" s="19" t="str"/>
      <x:c r="J55" s="19" t="str">
        <x:v>P §2.2 s.16–22; respektive fältnotering</x:v>
      </x:c>
    </x:row>
    <x:row r="56" ht="64.19999694824219" customHeight="1">
      <x:c r="A56" s="19" t="str">
        <x:v>PC-228-Z06</x:v>
      </x:c>
      <x:c r="B56" s="19" t="str">
        <x:v>228</x:v>
      </x:c>
      <x:c r="C56" s="19" t="str">
        <x:v>Z06</x:v>
      </x:c>
      <x:c r="D56" s="19" t="str">
        <x:v>subtype == E</x:v>
      </x:c>
      <x:c r="E56" s="19" t="str">
        <x:v>R</x:v>
      </x:c>
      <x:c r="F56" s="19" t="str">
        <x:v>X</x:v>
      </x:c>
      <x:c r="G56" s="19" t="str">
        <x:v>Stoppa egen sändning tills nödvändiga fakta är kända. Vid mottagning: avgör om fakta kan härledas ur giltigt meddelande/behörig struktur; lokalt kunskapsgap är inte automatiskt externt protokollfel.</x:v>
      </x:c>
      <x:c r="H56" s="19" t="str">
        <x:v>Utvärdera parent_group först. Inaktiv grupp gör barnets R/D icke-tillämpligt.</x:v>
      </x:c>
      <x:c r="I56" s="19" t="str"/>
      <x:c r="J56" s="19" t="str">
        <x:v>P §2.2 s.16–22; respektive fältnotering</x:v>
      </x:c>
    </x:row>
    <x:row r="57" ht="64.19999694824219" customHeight="1">
      <x:c r="A57" s="19" t="str">
        <x:v>PC-228-Z09</x:v>
      </x:c>
      <x:c r="B57" s="19" t="str">
        <x:v>228</x:v>
      </x:c>
      <x:c r="C57" s="19" t="str">
        <x:v>Z09</x:v>
      </x:c>
      <x:c r="D57" s="19" t="str">
        <x:v>subtype == E</x:v>
      </x:c>
      <x:c r="E57" s="19" t="str">
        <x:v>R</x:v>
      </x:c>
      <x:c r="F57" s="19" t="str">
        <x:v>X</x:v>
      </x:c>
      <x:c r="G57" s="19" t="str">
        <x:v>Stoppa egen sändning tills nödvändiga fakta är kända. Vid mottagning: avgör om fakta kan härledas ur giltigt meddelande/behörig struktur; lokalt kunskapsgap är inte automatiskt externt protokollfel.</x:v>
      </x:c>
      <x:c r="H57" s="19" t="str">
        <x:v>Utvärdera parent_group först. Inaktiv grupp gör barnets R/D icke-tillämpligt.</x:v>
      </x:c>
      <x:c r="I57" s="19" t="str"/>
      <x:c r="J57" s="19" t="str">
        <x:v>P §2.2 s.16–22; respektive fältnotering</x:v>
      </x:c>
    </x:row>
    <x:row r="58" ht="64.19999694824219" customHeight="1">
      <x:c r="A58" s="19" t="str">
        <x:v>PC-228-Z14</x:v>
      </x:c>
      <x:c r="B58" s="19" t="str">
        <x:v>228</x:v>
      </x:c>
      <x:c r="C58" s="19" t="str">
        <x:v>Z14</x:v>
      </x:c>
      <x:c r="D58" s="19" t="str">
        <x:v>subtype != N</x:v>
      </x:c>
      <x:c r="E58" s="19" t="str">
        <x:v>R</x:v>
      </x:c>
      <x:c r="F58" s="19" t="str">
        <x:v>X</x:v>
      </x:c>
      <x:c r="G58" s="19" t="str">
        <x:v>Stoppa egen sändning tills nödvändiga fakta är kända. Vid mottagning: avgör om fakta kan härledas ur giltigt meddelande/behörig struktur; lokalt kunskapsgap är inte automatiskt externt protokollfel.</x:v>
      </x:c>
      <x:c r="H58" s="19" t="str">
        <x:v>Utvärdera parent_group först. Inaktiv grupp gör barnets R/D icke-tillämpligt.</x:v>
      </x:c>
      <x:c r="I58" s="19" t="str"/>
      <x:c r="J58" s="19" t="str">
        <x:v>P §2.2 s.16–22; respektive fältnotering</x:v>
      </x:c>
    </x:row>
    <x:row r="59" ht="64.19999694824219" customHeight="1">
      <x:c r="A59" s="19" t="str">
        <x:v>PC-229-Z01</x:v>
      </x:c>
      <x:c r="B59" s="19" t="str">
        <x:v>229</x:v>
      </x:c>
      <x:c r="C59" s="19" t="str">
        <x:v>Z01</x:v>
      </x:c>
      <x:c r="D59" s="19" t="str">
        <x:v>parent_UD_active AND end_user_address_available</x:v>
      </x:c>
      <x:c r="E59" s="19" t="str">
        <x:v>R</x:v>
      </x:c>
      <x:c r="F59" s="19" t="str">
        <x:v>X</x:v>
      </x:c>
      <x:c r="G59" s="19" t="str">
        <x:v>Stoppa egen sändning tills nödvändiga fakta är kända. Vid mottagning: avgör om fakta kan härledas ur giltigt meddelande/behörig struktur; lokalt kunskapsgap är inte automatiskt externt protokollfel.</x:v>
      </x:c>
      <x:c r="H59" s="19" t="str">
        <x:v>Utvärdera parent_group först. Inaktiv grupp gör barnets R/D icke-tillämpligt.</x:v>
      </x:c>
      <x:c r="I59" s="19" t="str">
        <x:v>Barnkrav gäller endast när elanvändargruppen används.</x:v>
      </x:c>
      <x:c r="J59" s="19" t="str">
        <x:v>P §2.2 s.16–22; respektive fältnotering</x:v>
      </x:c>
    </x:row>
    <x:row r="60" ht="64.19999694824219" customHeight="1">
      <x:c r="A60" s="19" t="str">
        <x:v>PC-229-Z02</x:v>
      </x:c>
      <x:c r="B60" s="19" t="str">
        <x:v>229</x:v>
      </x:c>
      <x:c r="C60" s="19" t="str">
        <x:v>Z02</x:v>
      </x:c>
      <x:c r="D60" s="19" t="str">
        <x:v>parent_UD_active AND end_user_address_available</x:v>
      </x:c>
      <x:c r="E60" s="19" t="str">
        <x:v>R</x:v>
      </x:c>
      <x:c r="F60" s="19" t="str">
        <x:v>X</x:v>
      </x:c>
      <x:c r="G60" s="19" t="str">
        <x:v>Stoppa egen sändning tills nödvändiga fakta är kända. Vid mottagning: avgör om fakta kan härledas ur giltigt meddelande/behörig struktur; lokalt kunskapsgap är inte automatiskt externt protokollfel.</x:v>
      </x:c>
      <x:c r="H60" s="19" t="str">
        <x:v>Utvärdera parent_group först. Inaktiv grupp gör barnets R/D icke-tillämpligt.</x:v>
      </x:c>
      <x:c r="I60" s="19" t="str">
        <x:v>Barnkrav gäller endast när elanvändargruppen används.</x:v>
      </x:c>
      <x:c r="J60" s="19" t="str">
        <x:v>P §2.2 s.16–22; respektive fältnotering</x:v>
      </x:c>
    </x:row>
    <x:row r="61" ht="64.19999694824219" customHeight="1">
      <x:c r="A61" s="19" t="str">
        <x:v>PC-229-Z03</x:v>
      </x:c>
      <x:c r="B61" s="19" t="str">
        <x:v>229</x:v>
      </x:c>
      <x:c r="C61" s="19" t="str">
        <x:v>Z03</x:v>
      </x:c>
      <x:c r="D61" s="19" t="str">
        <x:v>parent_UD_active AND end_user_address_available</x:v>
      </x:c>
      <x:c r="E61" s="19" t="str">
        <x:v>R</x:v>
      </x:c>
      <x:c r="F61" s="19" t="str">
        <x:v>X</x:v>
      </x:c>
      <x:c r="G61" s="19" t="str">
        <x:v>Stoppa egen sändning tills nödvändiga fakta är kända. Vid mottagning: avgör om fakta kan härledas ur giltigt meddelande/behörig struktur; lokalt kunskapsgap är inte automatiskt externt protokollfel.</x:v>
      </x:c>
      <x:c r="H61" s="19" t="str">
        <x:v>Utvärdera parent_group först. Inaktiv grupp gör barnets R/D icke-tillämpligt.</x:v>
      </x:c>
      <x:c r="I61" s="19" t="str">
        <x:v>Barnkrav gäller endast när elanvändargruppen används.</x:v>
      </x:c>
      <x:c r="J61" s="19" t="str">
        <x:v>P §2.2 s.16–22; respektive fältnotering</x:v>
      </x:c>
    </x:row>
    <x:row r="62" ht="64.19999694824219" customHeight="1">
      <x:c r="A62" s="19" t="str">
        <x:v>PC-229-Z04</x:v>
      </x:c>
      <x:c r="B62" s="19" t="str">
        <x:v>229</x:v>
      </x:c>
      <x:c r="C62" s="19" t="str">
        <x:v>Z04</x:v>
      </x:c>
      <x:c r="D62" s="19" t="str">
        <x:v>parent_UD_active AND end_user_address_available</x:v>
      </x:c>
      <x:c r="E62" s="19" t="str">
        <x:v>R</x:v>
      </x:c>
      <x:c r="F62" s="19" t="str">
        <x:v>X</x:v>
      </x:c>
      <x:c r="G62" s="19" t="str">
        <x:v>Stoppa egen sändning tills nödvändiga fakta är kända. Vid mottagning: avgör om fakta kan härledas ur giltigt meddelande/behörig struktur; lokalt kunskapsgap är inte automatiskt externt protokollfel.</x:v>
      </x:c>
      <x:c r="H62" s="19" t="str">
        <x:v>Utvärdera parent_group först. Inaktiv grupp gör barnets R/D icke-tillämpligt.</x:v>
      </x:c>
      <x:c r="I62" s="19" t="str">
        <x:v>Barnkrav gäller endast när elanvändargruppen används.</x:v>
      </x:c>
      <x:c r="J62" s="19" t="str">
        <x:v>P §2.2 s.16–22; respektive fältnotering</x:v>
      </x:c>
    </x:row>
    <x:row r="63" ht="64.19999694824219" customHeight="1">
      <x:c r="A63" s="19" t="str">
        <x:v>PC-229-Z05</x:v>
      </x:c>
      <x:c r="B63" s="19" t="str">
        <x:v>229</x:v>
      </x:c>
      <x:c r="C63" s="19" t="str">
        <x:v>Z05</x:v>
      </x:c>
      <x:c r="D63" s="19" t="str">
        <x:v>parent_UD_active AND end_user_address_available</x:v>
      </x:c>
      <x:c r="E63" s="19" t="str">
        <x:v>R</x:v>
      </x:c>
      <x:c r="F63" s="19" t="str">
        <x:v>X</x:v>
      </x:c>
      <x:c r="G63" s="19" t="str">
        <x:v>Stoppa egen sändning tills nödvändiga fakta är kända. Vid mottagning: avgör om fakta kan härledas ur giltigt meddelande/behörig struktur; lokalt kunskapsgap är inte automatiskt externt protokollfel.</x:v>
      </x:c>
      <x:c r="H63" s="19" t="str">
        <x:v>Utvärdera parent_group först. Inaktiv grupp gör barnets R/D icke-tillämpligt.</x:v>
      </x:c>
      <x:c r="I63" s="19" t="str">
        <x:v>Barnkrav gäller endast när elanvändargruppen används.</x:v>
      </x:c>
      <x:c r="J63" s="19" t="str">
        <x:v>P §2.2 s.16–22; respektive fältnotering</x:v>
      </x:c>
    </x:row>
    <x:row r="64" ht="64.19999694824219" customHeight="1">
      <x:c r="A64" s="19" t="str">
        <x:v>PC-229-Z06</x:v>
      </x:c>
      <x:c r="B64" s="19" t="str">
        <x:v>229</x:v>
      </x:c>
      <x:c r="C64" s="19" t="str">
        <x:v>Z06</x:v>
      </x:c>
      <x:c r="D64" s="19" t="str">
        <x:v>parent_UD_active AND end_user_address_available</x:v>
      </x:c>
      <x:c r="E64" s="19" t="str">
        <x:v>R</x:v>
      </x:c>
      <x:c r="F64" s="19" t="str">
        <x:v>X</x:v>
      </x:c>
      <x:c r="G64" s="19" t="str">
        <x:v>Stoppa egen sändning tills nödvändiga fakta är kända. Vid mottagning: avgör om fakta kan härledas ur giltigt meddelande/behörig struktur; lokalt kunskapsgap är inte automatiskt externt protokollfel.</x:v>
      </x:c>
      <x:c r="H64" s="19" t="str">
        <x:v>Utvärdera parent_group först. Inaktiv grupp gör barnets R/D icke-tillämpligt.</x:v>
      </x:c>
      <x:c r="I64" s="19" t="str">
        <x:v>Barnkrav gäller endast när elanvändargruppen används.</x:v>
      </x:c>
      <x:c r="J64" s="19" t="str">
        <x:v>P §2.2 s.16–22; respektive fältnotering</x:v>
      </x:c>
    </x:row>
    <x:row r="65" ht="64.19999694824219" customHeight="1">
      <x:c r="A65" s="19" t="str">
        <x:v>PC-229-Z08</x:v>
      </x:c>
      <x:c r="B65" s="19" t="str">
        <x:v>229</x:v>
      </x:c>
      <x:c r="C65" s="19" t="str">
        <x:v>Z08</x:v>
      </x:c>
      <x:c r="D65" s="19" t="str">
        <x:v>parent_UD_active AND end_user_address_available</x:v>
      </x:c>
      <x:c r="E65" s="19" t="str">
        <x:v>R</x:v>
      </x:c>
      <x:c r="F65" s="19" t="str">
        <x:v>X</x:v>
      </x:c>
      <x:c r="G65" s="19" t="str">
        <x:v>Stoppa egen sändning tills nödvändiga fakta är kända. Vid mottagning: avgör om fakta kan härledas ur giltigt meddelande/behörig struktur; lokalt kunskapsgap är inte automatiskt externt protokollfel.</x:v>
      </x:c>
      <x:c r="H65" s="19" t="str">
        <x:v>Utvärdera parent_group först. Inaktiv grupp gör barnets R/D icke-tillämpligt.</x:v>
      </x:c>
      <x:c r="I65" s="19" t="str">
        <x:v>Barnkrav gäller endast när elanvändargruppen används.</x:v>
      </x:c>
      <x:c r="J65" s="19" t="str">
        <x:v>P §2.2 s.16–22; respektive fältnotering</x:v>
      </x:c>
    </x:row>
    <x:row r="66" ht="64.19999694824219" customHeight="1">
      <x:c r="A66" s="19" t="str">
        <x:v>PC-229-Z09</x:v>
      </x:c>
      <x:c r="B66" s="19" t="str">
        <x:v>229</x:v>
      </x:c>
      <x:c r="C66" s="19" t="str">
        <x:v>Z09</x:v>
      </x:c>
      <x:c r="D66" s="19" t="str">
        <x:v>parent_UD_active AND end_user_address_available</x:v>
      </x:c>
      <x:c r="E66" s="19" t="str">
        <x:v>R</x:v>
      </x:c>
      <x:c r="F66" s="19" t="str">
        <x:v>X</x:v>
      </x:c>
      <x:c r="G66" s="19" t="str">
        <x:v>Stoppa egen sändning tills nödvändiga fakta är kända. Vid mottagning: avgör om fakta kan härledas ur giltigt meddelande/behörig struktur; lokalt kunskapsgap är inte automatiskt externt protokollfel.</x:v>
      </x:c>
      <x:c r="H66" s="19" t="str">
        <x:v>Utvärdera parent_group först. Inaktiv grupp gör barnets R/D icke-tillämpligt.</x:v>
      </x:c>
      <x:c r="I66" s="19" t="str">
        <x:v>Barnkrav gäller endast när elanvändargruppen används.</x:v>
      </x:c>
      <x:c r="J66" s="19" t="str">
        <x:v>P §2.2 s.16–22; respektive fältnotering</x:v>
      </x:c>
    </x:row>
    <x:row r="67" ht="64.19999694824219" customHeight="1">
      <x:c r="A67" s="19" t="str">
        <x:v>PC-231-Z06</x:v>
      </x:c>
      <x:c r="B67" s="19" t="str">
        <x:v>231</x:v>
      </x:c>
      <x:c r="C67" s="19" t="str">
        <x:v>Z06</x:v>
      </x:c>
      <x:c r="D67" s="19" t="str">
        <x:v>subtype == E</x:v>
      </x:c>
      <x:c r="E67" s="19" t="str">
        <x:v>R</x:v>
      </x:c>
      <x:c r="F67" s="19" t="str">
        <x:v>X</x:v>
      </x:c>
      <x:c r="G67" s="19" t="str">
        <x:v>Stoppa egen sändning tills nödvändiga fakta är kända. Vid mottagning: avgör om fakta kan härledas ur giltigt meddelande/behörig struktur; lokalt kunskapsgap är inte automatiskt externt protokollfel.</x:v>
      </x:c>
      <x:c r="H67" s="19" t="str">
        <x:v>Utvärdera parent_group först. Inaktiv grupp gör barnets R/D icke-tillämpligt.</x:v>
      </x:c>
      <x:c r="I67" s="19" t="str"/>
      <x:c r="J67" s="19" t="str">
        <x:v>P §2.2 s.16–22; respektive fältnotering</x:v>
      </x:c>
    </x:row>
    <x:row r="68" ht="64.19999694824219" customHeight="1">
      <x:c r="A68" s="19" t="str">
        <x:v>PC-231-Z09</x:v>
      </x:c>
      <x:c r="B68" s="19" t="str">
        <x:v>231</x:v>
      </x:c>
      <x:c r="C68" s="19" t="str">
        <x:v>Z09</x:v>
      </x:c>
      <x:c r="D68" s="19" t="str">
        <x:v>subtype == E</x:v>
      </x:c>
      <x:c r="E68" s="19" t="str">
        <x:v>R</x:v>
      </x:c>
      <x:c r="F68" s="19" t="str">
        <x:v>X</x:v>
      </x:c>
      <x:c r="G68" s="19" t="str">
        <x:v>Stoppa egen sändning tills nödvändiga fakta är kända. Vid mottagning: avgör om fakta kan härledas ur giltigt meddelande/behörig struktur; lokalt kunskapsgap är inte automatiskt externt protokollfel.</x:v>
      </x:c>
      <x:c r="H68" s="19" t="str">
        <x:v>Utvärdera parent_group först. Inaktiv grupp gör barnets R/D icke-tillämpligt.</x:v>
      </x:c>
      <x:c r="I68" s="19" t="str"/>
      <x:c r="J68" s="19" t="str">
        <x:v>P §2.2 s.16–22; respektive fältnotering</x:v>
      </x:c>
    </x:row>
    <x:row r="69" ht="64.19999694824219" customHeight="1">
      <x:c r="A69" s="19" t="str">
        <x:v>PC-232-Z06</x:v>
      </x:c>
      <x:c r="B69" s="19" t="str">
        <x:v>232</x:v>
      </x:c>
      <x:c r="C69" s="19" t="str">
        <x:v>Z06</x:v>
      </x:c>
      <x:c r="D69" s="19" t="str">
        <x:v>subtype == E</x:v>
      </x:c>
      <x:c r="E69" s="19" t="str">
        <x:v>R</x:v>
      </x:c>
      <x:c r="F69" s="19" t="str">
        <x:v>X</x:v>
      </x:c>
      <x:c r="G69" s="19" t="str">
        <x:v>Stoppa egen sändning tills nödvändiga fakta är kända. Vid mottagning: avgör om fakta kan härledas ur giltigt meddelande/behörig struktur; lokalt kunskapsgap är inte automatiskt externt protokollfel.</x:v>
      </x:c>
      <x:c r="H69" s="19" t="str">
        <x:v>Utvärdera parent_group först. Inaktiv grupp gör barnets R/D icke-tillämpligt.</x:v>
      </x:c>
      <x:c r="I69" s="19" t="str"/>
      <x:c r="J69" s="19" t="str">
        <x:v>P §2.2 s.16–22; respektive fältnotering</x:v>
      </x:c>
    </x:row>
    <x:row r="70" ht="64.19999694824219" customHeight="1">
      <x:c r="A70" s="19" t="str">
        <x:v>PC-232-Z09</x:v>
      </x:c>
      <x:c r="B70" s="19" t="str">
        <x:v>232</x:v>
      </x:c>
      <x:c r="C70" s="19" t="str">
        <x:v>Z09</x:v>
      </x:c>
      <x:c r="D70" s="19" t="str">
        <x:v>subtype == E</x:v>
      </x:c>
      <x:c r="E70" s="19" t="str">
        <x:v>R</x:v>
      </x:c>
      <x:c r="F70" s="19" t="str">
        <x:v>X</x:v>
      </x:c>
      <x:c r="G70" s="19" t="str">
        <x:v>Stoppa egen sändning tills nödvändiga fakta är kända. Vid mottagning: avgör om fakta kan härledas ur giltigt meddelande/behörig struktur; lokalt kunskapsgap är inte automatiskt externt protokollfel.</x:v>
      </x:c>
      <x:c r="H70" s="19" t="str">
        <x:v>Utvärdera parent_group först. Inaktiv grupp gör barnets R/D icke-tillämpligt.</x:v>
      </x:c>
      <x:c r="I70" s="19" t="str"/>
      <x:c r="J70" s="19" t="str">
        <x:v>P §2.2 s.16–22; respektive fältnotering</x:v>
      </x:c>
    </x:row>
    <x:row r="71" ht="64.19999694824219" customHeight="1">
      <x:c r="A71" s="19" t="str">
        <x:v>PC-316-Z06</x:v>
      </x:c>
      <x:c r="B71" s="19" t="str">
        <x:v>316</x:v>
      </x:c>
      <x:c r="C71" s="19" t="str">
        <x:v>Z06</x:v>
      </x:c>
      <x:c r="D71" s="19" t="str">
        <x:v>subtype == E</x:v>
      </x:c>
      <x:c r="E71" s="19" t="str">
        <x:v>R</x:v>
      </x:c>
      <x:c r="F71" s="19" t="str">
        <x:v>X</x:v>
      </x:c>
      <x:c r="G71" s="19" t="str">
        <x:v>Stoppa egen sändning tills nödvändiga fakta är kända. Vid mottagning: avgör om fakta kan härledas ur giltigt meddelande/behörig struktur; lokalt kunskapsgap är inte automatiskt externt protokollfel.</x:v>
      </x:c>
      <x:c r="H71" s="19" t="str">
        <x:v>Utvärdera parent_group först. Inaktiv grupp gör barnets R/D icke-tillämpligt.</x:v>
      </x:c>
      <x:c r="I71" s="19" t="str"/>
      <x:c r="J71" s="19" t="str">
        <x:v>P §2.2 s.16–22; respektive fältnotering</x:v>
      </x:c>
    </x:row>
    <x:row r="72" ht="64.19999694824219" customHeight="1">
      <x:c r="A72" s="19" t="str">
        <x:v>PC-316-Z09</x:v>
      </x:c>
      <x:c r="B72" s="19" t="str">
        <x:v>316</x:v>
      </x:c>
      <x:c r="C72" s="19" t="str">
        <x:v>Z09</x:v>
      </x:c>
      <x:c r="D72" s="19" t="str">
        <x:v>subtype == E</x:v>
      </x:c>
      <x:c r="E72" s="19" t="str">
        <x:v>R</x:v>
      </x:c>
      <x:c r="F72" s="19" t="str">
        <x:v>X</x:v>
      </x:c>
      <x:c r="G72" s="19" t="str">
        <x:v>Stoppa egen sändning tills nödvändiga fakta är kända. Vid mottagning: avgör om fakta kan härledas ur giltigt meddelande/behörig struktur; lokalt kunskapsgap är inte automatiskt externt protokollfel.</x:v>
      </x:c>
      <x:c r="H72" s="19" t="str">
        <x:v>Utvärdera parent_group först. Inaktiv grupp gör barnets R/D icke-tillämpligt.</x:v>
      </x:c>
      <x:c r="I72" s="19" t="str"/>
      <x:c r="J72" s="19" t="str">
        <x:v>P §2.2 s.16–22; respektive fältnotering</x:v>
      </x:c>
    </x:row>
    <x:row r="73" ht="64.19999694824219" customHeight="1">
      <x:c r="A73" s="19" t="str">
        <x:v>PC-233-Z01</x:v>
      </x:c>
      <x:c r="B73" s="19" t="str">
        <x:v>233</x:v>
      </x:c>
      <x:c r="C73" s="19" t="str">
        <x:v>Z01</x:v>
      </x:c>
      <x:c r="D73" s="19" t="str">
        <x:v>parent_IT_selected_or_required</x:v>
      </x:c>
      <x:c r="E73" s="19" t="str">
        <x:v>R</x:v>
      </x:c>
      <x:c r="F73" s="19" t="str">
        <x:v>X</x:v>
      </x:c>
      <x:c r="G73" s="19" t="str">
        <x:v>Stoppa egen sändning tills nödvändiga fakta är kända. Vid mottagning: avgör om fakta kan härledas ur giltigt meddelande/behörig struktur; lokalt kunskapsgap är inte automatiskt externt protokollfel.</x:v>
      </x:c>
      <x:c r="H73" s="19" t="str">
        <x:v>Utvärdera parent_group först. Inaktiv grupp gör barnets R/D icke-tillämpligt.</x:v>
      </x:c>
      <x:c r="I73" s="19" t="str"/>
      <x:c r="J73" s="19" t="str">
        <x:v>P §2.2 s.16–22; respektive fältnotering</x:v>
      </x:c>
    </x:row>
    <x:row r="74" ht="64.19999694824219" customHeight="1">
      <x:c r="A74" s="19" t="str">
        <x:v>PC-233-Z03</x:v>
      </x:c>
      <x:c r="B74" s="19" t="str">
        <x:v>233</x:v>
      </x:c>
      <x:c r="C74" s="19" t="str">
        <x:v>Z03</x:v>
      </x:c>
      <x:c r="D74" s="19" t="str">
        <x:v>parent_IT_selected_or_required</x:v>
      </x:c>
      <x:c r="E74" s="19" t="str">
        <x:v>R</x:v>
      </x:c>
      <x:c r="F74" s="19" t="str">
        <x:v>X</x:v>
      </x:c>
      <x:c r="G74" s="19" t="str">
        <x:v>Stoppa egen sändning tills nödvändiga fakta är kända. Vid mottagning: avgör om fakta kan härledas ur giltigt meddelande/behörig struktur; lokalt kunskapsgap är inte automatiskt externt protokollfel.</x:v>
      </x:c>
      <x:c r="H74" s="19" t="str">
        <x:v>Utvärdera parent_group först. Inaktiv grupp gör barnets R/D icke-tillämpligt.</x:v>
      </x:c>
      <x:c r="I74" s="19" t="str"/>
      <x:c r="J74" s="19" t="str">
        <x:v>P §2.2 s.16–22; respektive fältnotering</x:v>
      </x:c>
    </x:row>
    <x:row r="75" ht="64.19999694824219" customHeight="1">
      <x:c r="A75" s="19" t="str">
        <x:v>PC-233-Z08</x:v>
      </x:c>
      <x:c r="B75" s="19" t="str">
        <x:v>233</x:v>
      </x:c>
      <x:c r="C75" s="19" t="str">
        <x:v>Z08</x:v>
      </x:c>
      <x:c r="D75" s="19" t="str">
        <x:v>parent_IT_selected_or_required</x:v>
      </x:c>
      <x:c r="E75" s="19" t="str">
        <x:v>R</x:v>
      </x:c>
      <x:c r="F75" s="19" t="str">
        <x:v>X</x:v>
      </x:c>
      <x:c r="G75" s="19" t="str">
        <x:v>Stoppa egen sändning tills nödvändiga fakta är kända. Vid mottagning: avgör om fakta kan härledas ur giltigt meddelande/behörig struktur; lokalt kunskapsgap är inte automatiskt externt protokollfel.</x:v>
      </x:c>
      <x:c r="H75" s="19" t="str">
        <x:v>Utvärdera parent_group först. Inaktiv grupp gör barnets R/D icke-tillämpligt.</x:v>
      </x:c>
      <x:c r="I75" s="19" t="str"/>
      <x:c r="J75" s="19" t="str">
        <x:v>P §2.2 s.16–22; respektive fältnotering</x:v>
      </x:c>
    </x:row>
    <x:row r="76" ht="64.19999694824219" customHeight="1">
      <x:c r="A76" s="19" t="str">
        <x:v>PC-234-Z01</x:v>
      </x:c>
      <x:c r="B76" s="19" t="str">
        <x:v>234</x:v>
      </x:c>
      <x:c r="C76" s="19" t="str">
        <x:v>Z01</x:v>
      </x:c>
      <x:c r="D76" s="19" t="str">
        <x:v>parent_IT_selected_or_required</x:v>
      </x:c>
      <x:c r="E76" s="19" t="str">
        <x:v>R</x:v>
      </x:c>
      <x:c r="F76" s="19" t="str">
        <x:v>X</x:v>
      </x:c>
      <x:c r="G76" s="19" t="str">
        <x:v>Stoppa egen sändning tills nödvändiga fakta är kända. Vid mottagning: avgör om fakta kan härledas ur giltigt meddelande/behörig struktur; lokalt kunskapsgap är inte automatiskt externt protokollfel.</x:v>
      </x:c>
      <x:c r="H76" s="19" t="str">
        <x:v>Utvärdera parent_group först. Inaktiv grupp gör barnets R/D icke-tillämpligt.</x:v>
      </x:c>
      <x:c r="I76" s="19" t="str"/>
      <x:c r="J76" s="19" t="str">
        <x:v>P §2.2 s.16–22; respektive fältnotering</x:v>
      </x:c>
    </x:row>
    <x:row r="77" ht="64.19999694824219" customHeight="1">
      <x:c r="A77" s="19" t="str">
        <x:v>PC-234-Z03</x:v>
      </x:c>
      <x:c r="B77" s="19" t="str">
        <x:v>234</x:v>
      </x:c>
      <x:c r="C77" s="19" t="str">
        <x:v>Z03</x:v>
      </x:c>
      <x:c r="D77" s="19" t="str">
        <x:v>parent_IT_selected_or_required</x:v>
      </x:c>
      <x:c r="E77" s="19" t="str">
        <x:v>R</x:v>
      </x:c>
      <x:c r="F77" s="19" t="str">
        <x:v>X</x:v>
      </x:c>
      <x:c r="G77" s="19" t="str">
        <x:v>Stoppa egen sändning tills nödvändiga fakta är kända. Vid mottagning: avgör om fakta kan härledas ur giltigt meddelande/behörig struktur; lokalt kunskapsgap är inte automatiskt externt protokollfel.</x:v>
      </x:c>
      <x:c r="H77" s="19" t="str">
        <x:v>Utvärdera parent_group först. Inaktiv grupp gör barnets R/D icke-tillämpligt.</x:v>
      </x:c>
      <x:c r="I77" s="19" t="str"/>
      <x:c r="J77" s="19" t="str">
        <x:v>P §2.2 s.16–22; respektive fältnotering</x:v>
      </x:c>
    </x:row>
    <x:row r="78" ht="64.19999694824219" customHeight="1">
      <x:c r="A78" s="19" t="str">
        <x:v>PC-234-Z08</x:v>
      </x:c>
      <x:c r="B78" s="19" t="str">
        <x:v>234</x:v>
      </x:c>
      <x:c r="C78" s="19" t="str">
        <x:v>Z08</x:v>
      </x:c>
      <x:c r="D78" s="19" t="str">
        <x:v>parent_IT_selected_or_required</x:v>
      </x:c>
      <x:c r="E78" s="19" t="str">
        <x:v>R</x:v>
      </x:c>
      <x:c r="F78" s="19" t="str">
        <x:v>X</x:v>
      </x:c>
      <x:c r="G78" s="19" t="str">
        <x:v>Stoppa egen sändning tills nödvändiga fakta är kända. Vid mottagning: avgör om fakta kan härledas ur giltigt meddelande/behörig struktur; lokalt kunskapsgap är inte automatiskt externt protokollfel.</x:v>
      </x:c>
      <x:c r="H78" s="19" t="str">
        <x:v>Utvärdera parent_group först. Inaktiv grupp gör barnets R/D icke-tillämpligt.</x:v>
      </x:c>
      <x:c r="I78" s="19" t="str"/>
      <x:c r="J78" s="19" t="str">
        <x:v>P §2.2 s.16–22; respektive fältnotering</x:v>
      </x:c>
    </x:row>
    <x:row r="79" ht="64.19999694824219" customHeight="1">
      <x:c r="A79" s="19" t="str">
        <x:v>PC-250-Z03</x:v>
      </x:c>
      <x:c r="B79" s="19" t="str">
        <x:v>250</x:v>
      </x:c>
      <x:c r="C79" s="19" t="str">
        <x:v>Z03</x:v>
      </x:c>
      <x:c r="D79" s="19" t="str">
        <x:v>parent_IV_active</x:v>
      </x:c>
      <x:c r="E79" s="19" t="str">
        <x:v>R</x:v>
      </x:c>
      <x:c r="F79" s="19" t="str">
        <x:v>X</x:v>
      </x:c>
      <x:c r="G79" s="19" t="str">
        <x:v>Stoppa egen sändning tills nödvändiga fakta är kända. Vid mottagning: avgör om fakta kan härledas ur giltigt meddelande/behörig struktur; lokalt kunskapsgap är inte automatiskt externt protokollfel.</x:v>
      </x:c>
      <x:c r="H79" s="19" t="str">
        <x:v>Utvärdera parent_group först. Inaktiv grupp gör barnets R/D icke-tillämpligt.</x:v>
      </x:c>
      <x:c r="I79" s="19" t="str"/>
      <x:c r="J79" s="19" t="str">
        <x:v>P §2.2 s.16–22; respektive fältnotering</x:v>
      </x:c>
    </x:row>
    <x:row r="80" ht="64.19999694824219" customHeight="1">
      <x:c r="A80" s="19" t="str">
        <x:v>PC-250-Z04</x:v>
      </x:c>
      <x:c r="B80" s="19" t="str">
        <x:v>250</x:v>
      </x:c>
      <x:c r="C80" s="19" t="str">
        <x:v>Z04</x:v>
      </x:c>
      <x:c r="D80" s="19" t="str">
        <x:v>parent_IV_active</x:v>
      </x:c>
      <x:c r="E80" s="19" t="str">
        <x:v>R</x:v>
      </x:c>
      <x:c r="F80" s="19" t="str">
        <x:v>X</x:v>
      </x:c>
      <x:c r="G80" s="19" t="str">
        <x:v>Stoppa egen sändning tills nödvändiga fakta är kända. Vid mottagning: avgör om fakta kan härledas ur giltigt meddelande/behörig struktur; lokalt kunskapsgap är inte automatiskt externt protokollfel.</x:v>
      </x:c>
      <x:c r="H80" s="19" t="str">
        <x:v>Utvärdera parent_group först. Inaktiv grupp gör barnets R/D icke-tillämpligt.</x:v>
      </x:c>
      <x:c r="I80" s="19" t="str"/>
      <x:c r="J80" s="19" t="str">
        <x:v>P §2.2 s.16–22; respektive fältnotering</x:v>
      </x:c>
    </x:row>
    <x:row r="81" ht="64.19999694824219" customHeight="1">
      <x:c r="A81" s="19" t="str">
        <x:v>PC-250-Z05</x:v>
      </x:c>
      <x:c r="B81" s="19" t="str">
        <x:v>250</x:v>
      </x:c>
      <x:c r="C81" s="19" t="str">
        <x:v>Z05</x:v>
      </x:c>
      <x:c r="D81" s="19" t="str">
        <x:v>parent_IV_active</x:v>
      </x:c>
      <x:c r="E81" s="19" t="str">
        <x:v>R</x:v>
      </x:c>
      <x:c r="F81" s="19" t="str">
        <x:v>X</x:v>
      </x:c>
      <x:c r="G81" s="19" t="str">
        <x:v>Stoppa egen sändning tills nödvändiga fakta är kända. Vid mottagning: avgör om fakta kan härledas ur giltigt meddelande/behörig struktur; lokalt kunskapsgap är inte automatiskt externt protokollfel.</x:v>
      </x:c>
      <x:c r="H81" s="19" t="str">
        <x:v>Utvärdera parent_group först. Inaktiv grupp gör barnets R/D icke-tillämpligt.</x:v>
      </x:c>
      <x:c r="I81" s="19" t="str"/>
      <x:c r="J81" s="19" t="str">
        <x:v>P §2.2 s.16–22; respektive fältnotering</x:v>
      </x:c>
    </x:row>
    <x:row r="82" ht="64.19999694824219" customHeight="1">
      <x:c r="A82" s="19" t="str">
        <x:v>PC-250-Z06</x:v>
      </x:c>
      <x:c r="B82" s="19" t="str">
        <x:v>250</x:v>
      </x:c>
      <x:c r="C82" s="19" t="str">
        <x:v>Z06</x:v>
      </x:c>
      <x:c r="D82" s="19" t="str">
        <x:v>parent_IV_active</x:v>
      </x:c>
      <x:c r="E82" s="19" t="str">
        <x:v>R</x:v>
      </x:c>
      <x:c r="F82" s="19" t="str">
        <x:v>X</x:v>
      </x:c>
      <x:c r="G82" s="19" t="str">
        <x:v>Stoppa egen sändning tills nödvändiga fakta är kända. Vid mottagning: avgör om fakta kan härledas ur giltigt meddelande/behörig struktur; lokalt kunskapsgap är inte automatiskt externt protokollfel.</x:v>
      </x:c>
      <x:c r="H82" s="19" t="str">
        <x:v>Utvärdera parent_group först. Inaktiv grupp gör barnets R/D icke-tillämpligt.</x:v>
      </x:c>
      <x:c r="I82" s="19" t="str"/>
      <x:c r="J82" s="19" t="str">
        <x:v>P §2.2 s.16–22; respektive fältnotering</x:v>
      </x:c>
    </x:row>
    <x:row r="83" ht="64.19999694824219" customHeight="1">
      <x:c r="A83" s="19" t="str">
        <x:v>PC-250-Z08</x:v>
      </x:c>
      <x:c r="B83" s="19" t="str">
        <x:v>250</x:v>
      </x:c>
      <x:c r="C83" s="19" t="str">
        <x:v>Z08</x:v>
      </x:c>
      <x:c r="D83" s="19" t="str">
        <x:v>parent_IV_active</x:v>
      </x:c>
      <x:c r="E83" s="19" t="str">
        <x:v>R</x:v>
      </x:c>
      <x:c r="F83" s="19" t="str">
        <x:v>X</x:v>
      </x:c>
      <x:c r="G83" s="19" t="str">
        <x:v>Stoppa egen sändning tills nödvändiga fakta är kända. Vid mottagning: avgör om fakta kan härledas ur giltigt meddelande/behörig struktur; lokalt kunskapsgap är inte automatiskt externt protokollfel.</x:v>
      </x:c>
      <x:c r="H83" s="19" t="str">
        <x:v>Utvärdera parent_group först. Inaktiv grupp gör barnets R/D icke-tillämpligt.</x:v>
      </x:c>
      <x:c r="I83" s="19" t="str"/>
      <x:c r="J83" s="19" t="str">
        <x:v>P §2.2 s.16–22; respektive fältnotering</x:v>
      </x:c>
    </x:row>
    <x:row r="84" ht="64.19999694824219" customHeight="1">
      <x:c r="A84" s="19" t="str">
        <x:v>PC-250-Z09</x:v>
      </x:c>
      <x:c r="B84" s="19" t="str">
        <x:v>250</x:v>
      </x:c>
      <x:c r="C84" s="19" t="str">
        <x:v>Z09</x:v>
      </x:c>
      <x:c r="D84" s="19" t="str">
        <x:v>parent_IV_active</x:v>
      </x:c>
      <x:c r="E84" s="19" t="str">
        <x:v>R</x:v>
      </x:c>
      <x:c r="F84" s="19" t="str">
        <x:v>X</x:v>
      </x:c>
      <x:c r="G84" s="19" t="str">
        <x:v>Stoppa egen sändning tills nödvändiga fakta är kända. Vid mottagning: avgör om fakta kan härledas ur giltigt meddelande/behörig struktur; lokalt kunskapsgap är inte automatiskt externt protokollfel.</x:v>
      </x:c>
      <x:c r="H84" s="19" t="str">
        <x:v>Utvärdera parent_group först. Inaktiv grupp gör barnets R/D icke-tillämpligt.</x:v>
      </x:c>
      <x:c r="I84" s="19" t="str"/>
      <x:c r="J84" s="19" t="str">
        <x:v>P §2.2 s.16–22; respektive fältnotering</x:v>
      </x:c>
    </x:row>
    <x:row r="85" ht="64.19999694824219" customHeight="1">
      <x:c r="A85" s="19" t="str">
        <x:v>PC-251-Z03</x:v>
      </x:c>
      <x:c r="B85" s="19" t="str">
        <x:v>251</x:v>
      </x:c>
      <x:c r="C85" s="19" t="str">
        <x:v>Z03</x:v>
      </x:c>
      <x:c r="D85" s="19" t="str">
        <x:v>parent_IV_active</x:v>
      </x:c>
      <x:c r="E85" s="19" t="str">
        <x:v>R</x:v>
      </x:c>
      <x:c r="F85" s="19" t="str">
        <x:v>X</x:v>
      </x:c>
      <x:c r="G85" s="19" t="str">
        <x:v>Stoppa egen sändning tills nödvändiga fakta är kända. Vid mottagning: avgör om fakta kan härledas ur giltigt meddelande/behörig struktur; lokalt kunskapsgap är inte automatiskt externt protokollfel.</x:v>
      </x:c>
      <x:c r="H85" s="19" t="str">
        <x:v>Utvärdera parent_group först. Inaktiv grupp gör barnets R/D icke-tillämpligt.</x:v>
      </x:c>
      <x:c r="I85" s="19" t="str"/>
      <x:c r="J85" s="19" t="str">
        <x:v>P §2.2 s.16–22; respektive fältnotering</x:v>
      </x:c>
    </x:row>
    <x:row r="86" ht="64.19999694824219" customHeight="1">
      <x:c r="A86" s="19" t="str">
        <x:v>PC-251-Z04</x:v>
      </x:c>
      <x:c r="B86" s="19" t="str">
        <x:v>251</x:v>
      </x:c>
      <x:c r="C86" s="19" t="str">
        <x:v>Z04</x:v>
      </x:c>
      <x:c r="D86" s="19" t="str">
        <x:v>parent_IV_active</x:v>
      </x:c>
      <x:c r="E86" s="19" t="str">
        <x:v>R</x:v>
      </x:c>
      <x:c r="F86" s="19" t="str">
        <x:v>X</x:v>
      </x:c>
      <x:c r="G86" s="19" t="str">
        <x:v>Stoppa egen sändning tills nödvändiga fakta är kända. Vid mottagning: avgör om fakta kan härledas ur giltigt meddelande/behörig struktur; lokalt kunskapsgap är inte automatiskt externt protokollfel.</x:v>
      </x:c>
      <x:c r="H86" s="19" t="str">
        <x:v>Utvärdera parent_group först. Inaktiv grupp gör barnets R/D icke-tillämpligt.</x:v>
      </x:c>
      <x:c r="I86" s="19" t="str"/>
      <x:c r="J86" s="19" t="str">
        <x:v>P §2.2 s.16–22; respektive fältnotering</x:v>
      </x:c>
    </x:row>
    <x:row r="87" ht="64.19999694824219" customHeight="1">
      <x:c r="A87" s="19" t="str">
        <x:v>PC-251-Z05</x:v>
      </x:c>
      <x:c r="B87" s="19" t="str">
        <x:v>251</x:v>
      </x:c>
      <x:c r="C87" s="19" t="str">
        <x:v>Z05</x:v>
      </x:c>
      <x:c r="D87" s="19" t="str">
        <x:v>parent_IV_active</x:v>
      </x:c>
      <x:c r="E87" s="19" t="str">
        <x:v>R</x:v>
      </x:c>
      <x:c r="F87" s="19" t="str">
        <x:v>X</x:v>
      </x:c>
      <x:c r="G87" s="19" t="str">
        <x:v>Stoppa egen sändning tills nödvändiga fakta är kända. Vid mottagning: avgör om fakta kan härledas ur giltigt meddelande/behörig struktur; lokalt kunskapsgap är inte automatiskt externt protokollfel.</x:v>
      </x:c>
      <x:c r="H87" s="19" t="str">
        <x:v>Utvärdera parent_group först. Inaktiv grupp gör barnets R/D icke-tillämpligt.</x:v>
      </x:c>
      <x:c r="I87" s="19" t="str"/>
      <x:c r="J87" s="19" t="str">
        <x:v>P §2.2 s.16–22; respektive fältnotering</x:v>
      </x:c>
    </x:row>
    <x:row r="88" ht="64.19999694824219" customHeight="1">
      <x:c r="A88" s="19" t="str">
        <x:v>PC-251-Z06</x:v>
      </x:c>
      <x:c r="B88" s="19" t="str">
        <x:v>251</x:v>
      </x:c>
      <x:c r="C88" s="19" t="str">
        <x:v>Z06</x:v>
      </x:c>
      <x:c r="D88" s="19" t="str">
        <x:v>parent_IV_active</x:v>
      </x:c>
      <x:c r="E88" s="19" t="str">
        <x:v>R</x:v>
      </x:c>
      <x:c r="F88" s="19" t="str">
        <x:v>X</x:v>
      </x:c>
      <x:c r="G88" s="19" t="str">
        <x:v>Stoppa egen sändning tills nödvändiga fakta är kända. Vid mottagning: avgör om fakta kan härledas ur giltigt meddelande/behörig struktur; lokalt kunskapsgap är inte automatiskt externt protokollfel.</x:v>
      </x:c>
      <x:c r="H88" s="19" t="str">
        <x:v>Utvärdera parent_group först. Inaktiv grupp gör barnets R/D icke-tillämpligt.</x:v>
      </x:c>
      <x:c r="I88" s="19" t="str"/>
      <x:c r="J88" s="19" t="str">
        <x:v>P §2.2 s.16–22; respektive fältnotering</x:v>
      </x:c>
    </x:row>
    <x:row r="89" ht="64.19999694824219" customHeight="1">
      <x:c r="A89" s="19" t="str">
        <x:v>PC-251-Z08</x:v>
      </x:c>
      <x:c r="B89" s="19" t="str">
        <x:v>251</x:v>
      </x:c>
      <x:c r="C89" s="19" t="str">
        <x:v>Z08</x:v>
      </x:c>
      <x:c r="D89" s="19" t="str">
        <x:v>parent_IV_active</x:v>
      </x:c>
      <x:c r="E89" s="19" t="str">
        <x:v>R</x:v>
      </x:c>
      <x:c r="F89" s="19" t="str">
        <x:v>X</x:v>
      </x:c>
      <x:c r="G89" s="19" t="str">
        <x:v>Stoppa egen sändning tills nödvändiga fakta är kända. Vid mottagning: avgör om fakta kan härledas ur giltigt meddelande/behörig struktur; lokalt kunskapsgap är inte automatiskt externt protokollfel.</x:v>
      </x:c>
      <x:c r="H89" s="19" t="str">
        <x:v>Utvärdera parent_group först. Inaktiv grupp gör barnets R/D icke-tillämpligt.</x:v>
      </x:c>
      <x:c r="I89" s="19" t="str"/>
      <x:c r="J89" s="19" t="str">
        <x:v>P §2.2 s.16–22; respektive fältnotering</x:v>
      </x:c>
    </x:row>
    <x:row r="90" ht="64.19999694824219" customHeight="1">
      <x:c r="A90" s="19" t="str">
        <x:v>PC-251-Z09</x:v>
      </x:c>
      <x:c r="B90" s="19" t="str">
        <x:v>251</x:v>
      </x:c>
      <x:c r="C90" s="19" t="str">
        <x:v>Z09</x:v>
      </x:c>
      <x:c r="D90" s="19" t="str">
        <x:v>parent_IV_active</x:v>
      </x:c>
      <x:c r="E90" s="19" t="str">
        <x:v>R</x:v>
      </x:c>
      <x:c r="F90" s="19" t="str">
        <x:v>X</x:v>
      </x:c>
      <x:c r="G90" s="19" t="str">
        <x:v>Stoppa egen sändning tills nödvändiga fakta är kända. Vid mottagning: avgör om fakta kan härledas ur giltigt meddelande/behörig struktur; lokalt kunskapsgap är inte automatiskt externt protokollfel.</x:v>
      </x:c>
      <x:c r="H90" s="19" t="str">
        <x:v>Utvärdera parent_group först. Inaktiv grupp gör barnets R/D icke-tillämpligt.</x:v>
      </x:c>
      <x:c r="I90" s="19" t="str"/>
      <x:c r="J90" s="19" t="str">
        <x:v>P §2.2 s.16–22; respektive fältnotering</x:v>
      </x:c>
    </x:row>
    <x:row r="91" ht="64.19999694824219" customHeight="1">
      <x:c r="A91" s="19" t="str">
        <x:v>PC-252-Z03</x:v>
      </x:c>
      <x:c r="B91" s="19" t="str">
        <x:v>252</x:v>
      </x:c>
      <x:c r="C91" s="19" t="str">
        <x:v>Z03</x:v>
      </x:c>
      <x:c r="D91" s="19" t="str">
        <x:v>parent_IV_active AND invoicee_address_applicable</x:v>
      </x:c>
      <x:c r="E91" s="19" t="str">
        <x:v>R</x:v>
      </x:c>
      <x:c r="F91" s="19" t="str">
        <x:v>X</x:v>
      </x:c>
      <x:c r="G91" s="19" t="str">
        <x:v>Stoppa egen sändning tills nödvändiga fakta är kända. Vid mottagning: avgör om fakta kan härledas ur giltigt meddelande/behörig struktur; lokalt kunskapsgap är inte automatiskt externt protokollfel.</x:v>
      </x:c>
      <x:c r="H91" s="19" t="str">
        <x:v>Utvärdera parent_group först. Inaktiv grupp gör barnets R/D icke-tillämpligt.</x:v>
      </x:c>
      <x:c r="I91" s="19" t="str"/>
      <x:c r="J91" s="19" t="str">
        <x:v>P §2.2 s.16–22; respektive fältnotering</x:v>
      </x:c>
    </x:row>
    <x:row r="92" ht="64.19999694824219" customHeight="1">
      <x:c r="A92" s="19" t="str">
        <x:v>PC-252-Z04</x:v>
      </x:c>
      <x:c r="B92" s="19" t="str">
        <x:v>252</x:v>
      </x:c>
      <x:c r="C92" s="19" t="str">
        <x:v>Z04</x:v>
      </x:c>
      <x:c r="D92" s="19" t="str">
        <x:v>parent_IV_active AND invoicee_address_applicable</x:v>
      </x:c>
      <x:c r="E92" s="19" t="str">
        <x:v>R</x:v>
      </x:c>
      <x:c r="F92" s="19" t="str">
        <x:v>X</x:v>
      </x:c>
      <x:c r="G92" s="19" t="str">
        <x:v>Stoppa egen sändning tills nödvändiga fakta är kända. Vid mottagning: avgör om fakta kan härledas ur giltigt meddelande/behörig struktur; lokalt kunskapsgap är inte automatiskt externt protokollfel.</x:v>
      </x:c>
      <x:c r="H92" s="19" t="str">
        <x:v>Utvärdera parent_group först. Inaktiv grupp gör barnets R/D icke-tillämpligt.</x:v>
      </x:c>
      <x:c r="I92" s="19" t="str"/>
      <x:c r="J92" s="19" t="str">
        <x:v>P §2.2 s.16–22; respektive fältnotering</x:v>
      </x:c>
    </x:row>
    <x:row r="93" ht="64.19999694824219" customHeight="1">
      <x:c r="A93" s="19" t="str">
        <x:v>PC-252-Z05</x:v>
      </x:c>
      <x:c r="B93" s="19" t="str">
        <x:v>252</x:v>
      </x:c>
      <x:c r="C93" s="19" t="str">
        <x:v>Z05</x:v>
      </x:c>
      <x:c r="D93" s="19" t="str">
        <x:v>parent_IV_active AND invoicee_address_applicable</x:v>
      </x:c>
      <x:c r="E93" s="19" t="str">
        <x:v>R</x:v>
      </x:c>
      <x:c r="F93" s="19" t="str">
        <x:v>X</x:v>
      </x:c>
      <x:c r="G93" s="19" t="str">
        <x:v>Stoppa egen sändning tills nödvändiga fakta är kända. Vid mottagning: avgör om fakta kan härledas ur giltigt meddelande/behörig struktur; lokalt kunskapsgap är inte automatiskt externt protokollfel.</x:v>
      </x:c>
      <x:c r="H93" s="19" t="str">
        <x:v>Utvärdera parent_group först. Inaktiv grupp gör barnets R/D icke-tillämpligt.</x:v>
      </x:c>
      <x:c r="I93" s="19" t="str"/>
      <x:c r="J93" s="19" t="str">
        <x:v>P §2.2 s.16–22; respektive fältnotering</x:v>
      </x:c>
    </x:row>
    <x:row r="94" ht="64.19999694824219" customHeight="1">
      <x:c r="A94" s="19" t="str">
        <x:v>PC-252-Z06</x:v>
      </x:c>
      <x:c r="B94" s="19" t="str">
        <x:v>252</x:v>
      </x:c>
      <x:c r="C94" s="19" t="str">
        <x:v>Z06</x:v>
      </x:c>
      <x:c r="D94" s="19" t="str">
        <x:v>parent_IV_active AND invoicee_address_applicable</x:v>
      </x:c>
      <x:c r="E94" s="19" t="str">
        <x:v>R</x:v>
      </x:c>
      <x:c r="F94" s="19" t="str">
        <x:v>X</x:v>
      </x:c>
      <x:c r="G94" s="19" t="str">
        <x:v>Stoppa egen sändning tills nödvändiga fakta är kända. Vid mottagning: avgör om fakta kan härledas ur giltigt meddelande/behörig struktur; lokalt kunskapsgap är inte automatiskt externt protokollfel.</x:v>
      </x:c>
      <x:c r="H94" s="19" t="str">
        <x:v>Utvärdera parent_group först. Inaktiv grupp gör barnets R/D icke-tillämpligt.</x:v>
      </x:c>
      <x:c r="I94" s="19" t="str"/>
      <x:c r="J94" s="19" t="str">
        <x:v>P §2.2 s.16–22; respektive fältnotering</x:v>
      </x:c>
    </x:row>
    <x:row r="95" ht="64.19999694824219" customHeight="1">
      <x:c r="A95" s="19" t="str">
        <x:v>PC-252-Z08</x:v>
      </x:c>
      <x:c r="B95" s="19" t="str">
        <x:v>252</x:v>
      </x:c>
      <x:c r="C95" s="19" t="str">
        <x:v>Z08</x:v>
      </x:c>
      <x:c r="D95" s="19" t="str">
        <x:v>parent_IV_active AND invoicee_address_applicable</x:v>
      </x:c>
      <x:c r="E95" s="19" t="str">
        <x:v>R</x:v>
      </x:c>
      <x:c r="F95" s="19" t="str">
        <x:v>X</x:v>
      </x:c>
      <x:c r="G95" s="19" t="str">
        <x:v>Stoppa egen sändning tills nödvändiga fakta är kända. Vid mottagning: avgör om fakta kan härledas ur giltigt meddelande/behörig struktur; lokalt kunskapsgap är inte automatiskt externt protokollfel.</x:v>
      </x:c>
      <x:c r="H95" s="19" t="str">
        <x:v>Utvärdera parent_group först. Inaktiv grupp gör barnets R/D icke-tillämpligt.</x:v>
      </x:c>
      <x:c r="I95" s="19" t="str"/>
      <x:c r="J95" s="19" t="str">
        <x:v>P §2.2 s.16–22; respektive fältnotering</x:v>
      </x:c>
    </x:row>
    <x:row r="96" ht="64.19999694824219" customHeight="1">
      <x:c r="A96" s="19" t="str">
        <x:v>PC-252-Z09</x:v>
      </x:c>
      <x:c r="B96" s="19" t="str">
        <x:v>252</x:v>
      </x:c>
      <x:c r="C96" s="19" t="str">
        <x:v>Z09</x:v>
      </x:c>
      <x:c r="D96" s="19" t="str">
        <x:v>parent_IV_active AND invoicee_address_applicable</x:v>
      </x:c>
      <x:c r="E96" s="19" t="str">
        <x:v>R</x:v>
      </x:c>
      <x:c r="F96" s="19" t="str">
        <x:v>X</x:v>
      </x:c>
      <x:c r="G96" s="19" t="str">
        <x:v>Stoppa egen sändning tills nödvändiga fakta är kända. Vid mottagning: avgör om fakta kan härledas ur giltigt meddelande/behörig struktur; lokalt kunskapsgap är inte automatiskt externt protokollfel.</x:v>
      </x:c>
      <x:c r="H96" s="19" t="str">
        <x:v>Utvärdera parent_group först. Inaktiv grupp gör barnets R/D icke-tillämpligt.</x:v>
      </x:c>
      <x:c r="I96" s="19" t="str"/>
      <x:c r="J96" s="19" t="str">
        <x:v>P §2.2 s.16–22; respektive fältnotering</x:v>
      </x:c>
    </x:row>
    <x:row r="97" ht="64.19999694824219" customHeight="1">
      <x:c r="A97" s="19" t="str">
        <x:v>PC-253-Z03</x:v>
      </x:c>
      <x:c r="B97" s="19" t="str">
        <x:v>253</x:v>
      </x:c>
      <x:c r="C97" s="19" t="str">
        <x:v>Z03</x:v>
      </x:c>
      <x:c r="D97" s="19" t="str">
        <x:v>parent_IV_active</x:v>
      </x:c>
      <x:c r="E97" s="19" t="str">
        <x:v>R</x:v>
      </x:c>
      <x:c r="F97" s="19" t="str">
        <x:v>X</x:v>
      </x:c>
      <x:c r="G97" s="19" t="str">
        <x:v>Stoppa egen sändning tills nödvändiga fakta är kända. Vid mottagning: avgör om fakta kan härledas ur giltigt meddelande/behörig struktur; lokalt kunskapsgap är inte automatiskt externt protokollfel.</x:v>
      </x:c>
      <x:c r="H97" s="19" t="str">
        <x:v>Utvärdera parent_group först. Inaktiv grupp gör barnets R/D icke-tillämpligt.</x:v>
      </x:c>
      <x:c r="I97" s="19" t="str"/>
      <x:c r="J97" s="19" t="str">
        <x:v>P §2.2 s.16–22; respektive fältnotering</x:v>
      </x:c>
    </x:row>
    <x:row r="98" ht="64.19999694824219" customHeight="1">
      <x:c r="A98" s="19" t="str">
        <x:v>PC-253-Z04</x:v>
      </x:c>
      <x:c r="B98" s="19" t="str">
        <x:v>253</x:v>
      </x:c>
      <x:c r="C98" s="19" t="str">
        <x:v>Z04</x:v>
      </x:c>
      <x:c r="D98" s="19" t="str">
        <x:v>parent_IV_active</x:v>
      </x:c>
      <x:c r="E98" s="19" t="str">
        <x:v>R</x:v>
      </x:c>
      <x:c r="F98" s="19" t="str">
        <x:v>X</x:v>
      </x:c>
      <x:c r="G98" s="19" t="str">
        <x:v>Stoppa egen sändning tills nödvändiga fakta är kända. Vid mottagning: avgör om fakta kan härledas ur giltigt meddelande/behörig struktur; lokalt kunskapsgap är inte automatiskt externt protokollfel.</x:v>
      </x:c>
      <x:c r="H98" s="19" t="str">
        <x:v>Utvärdera parent_group först. Inaktiv grupp gör barnets R/D icke-tillämpligt.</x:v>
      </x:c>
      <x:c r="I98" s="19" t="str"/>
      <x:c r="J98" s="19" t="str">
        <x:v>P §2.2 s.16–22; respektive fältnotering</x:v>
      </x:c>
    </x:row>
    <x:row r="99" ht="64.19999694824219" customHeight="1">
      <x:c r="A99" s="19" t="str">
        <x:v>PC-253-Z05</x:v>
      </x:c>
      <x:c r="B99" s="19" t="str">
        <x:v>253</x:v>
      </x:c>
      <x:c r="C99" s="19" t="str">
        <x:v>Z05</x:v>
      </x:c>
      <x:c r="D99" s="19" t="str">
        <x:v>parent_IV_active</x:v>
      </x:c>
      <x:c r="E99" s="19" t="str">
        <x:v>R</x:v>
      </x:c>
      <x:c r="F99" s="19" t="str">
        <x:v>X</x:v>
      </x:c>
      <x:c r="G99" s="19" t="str">
        <x:v>Stoppa egen sändning tills nödvändiga fakta är kända. Vid mottagning: avgör om fakta kan härledas ur giltigt meddelande/behörig struktur; lokalt kunskapsgap är inte automatiskt externt protokollfel.</x:v>
      </x:c>
      <x:c r="H99" s="19" t="str">
        <x:v>Utvärdera parent_group först. Inaktiv grupp gör barnets R/D icke-tillämpligt.</x:v>
      </x:c>
      <x:c r="I99" s="19" t="str"/>
      <x:c r="J99" s="19" t="str">
        <x:v>P §2.2 s.16–22; respektive fältnotering</x:v>
      </x:c>
    </x:row>
    <x:row r="100" ht="64.19999694824219" customHeight="1">
      <x:c r="A100" s="19" t="str">
        <x:v>PC-253-Z06</x:v>
      </x:c>
      <x:c r="B100" s="19" t="str">
        <x:v>253</x:v>
      </x:c>
      <x:c r="C100" s="19" t="str">
        <x:v>Z06</x:v>
      </x:c>
      <x:c r="D100" s="19" t="str">
        <x:v>parent_IV_active</x:v>
      </x:c>
      <x:c r="E100" s="19" t="str">
        <x:v>R</x:v>
      </x:c>
      <x:c r="F100" s="19" t="str">
        <x:v>X</x:v>
      </x:c>
      <x:c r="G100" s="19" t="str">
        <x:v>Stoppa egen sändning tills nödvändiga fakta är kända. Vid mottagning: avgör om fakta kan härledas ur giltigt meddelande/behörig struktur; lokalt kunskapsgap är inte automatiskt externt protokollfel.</x:v>
      </x:c>
      <x:c r="H100" s="19" t="str">
        <x:v>Utvärdera parent_group först. Inaktiv grupp gör barnets R/D icke-tillämpligt.</x:v>
      </x:c>
      <x:c r="I100" s="19" t="str"/>
      <x:c r="J100" s="19" t="str">
        <x:v>P §2.2 s.16–22; respektive fältnotering</x:v>
      </x:c>
    </x:row>
    <x:row r="101" ht="64.19999694824219" customHeight="1">
      <x:c r="A101" s="19" t="str">
        <x:v>PC-253-Z08</x:v>
      </x:c>
      <x:c r="B101" s="19" t="str">
        <x:v>253</x:v>
      </x:c>
      <x:c r="C101" s="19" t="str">
        <x:v>Z08</x:v>
      </x:c>
      <x:c r="D101" s="19" t="str">
        <x:v>parent_IV_active</x:v>
      </x:c>
      <x:c r="E101" s="19" t="str">
        <x:v>R</x:v>
      </x:c>
      <x:c r="F101" s="19" t="str">
        <x:v>X</x:v>
      </x:c>
      <x:c r="G101" s="19" t="str">
        <x:v>Stoppa egen sändning tills nödvändiga fakta är kända. Vid mottagning: avgör om fakta kan härledas ur giltigt meddelande/behörig struktur; lokalt kunskapsgap är inte automatiskt externt protokollfel.</x:v>
      </x:c>
      <x:c r="H101" s="19" t="str">
        <x:v>Utvärdera parent_group först. Inaktiv grupp gör barnets R/D icke-tillämpligt.</x:v>
      </x:c>
      <x:c r="I101" s="19" t="str"/>
      <x:c r="J101" s="19" t="str">
        <x:v>P §2.2 s.16–22; respektive fältnotering</x:v>
      </x:c>
    </x:row>
    <x:row r="102" ht="64.19999694824219" customHeight="1">
      <x:c r="A102" s="19" t="str">
        <x:v>PC-253-Z09</x:v>
      </x:c>
      <x:c r="B102" s="19" t="str">
        <x:v>253</x:v>
      </x:c>
      <x:c r="C102" s="19" t="str">
        <x:v>Z09</x:v>
      </x:c>
      <x:c r="D102" s="19" t="str">
        <x:v>parent_IV_active</x:v>
      </x:c>
      <x:c r="E102" s="19" t="str">
        <x:v>R</x:v>
      </x:c>
      <x:c r="F102" s="19" t="str">
        <x:v>X</x:v>
      </x:c>
      <x:c r="G102" s="19" t="str">
        <x:v>Stoppa egen sändning tills nödvändiga fakta är kända. Vid mottagning: avgör om fakta kan härledas ur giltigt meddelande/behörig struktur; lokalt kunskapsgap är inte automatiskt externt protokollfel.</x:v>
      </x:c>
      <x:c r="H102" s="19" t="str">
        <x:v>Utvärdera parent_group först. Inaktiv grupp gör barnets R/D icke-tillämpligt.</x:v>
      </x:c>
      <x:c r="I102" s="19" t="str"/>
      <x:c r="J102" s="19" t="str">
        <x:v>P §2.2 s.16–22; respektive fältnotering</x:v>
      </x:c>
    </x:row>
    <x:row r="103" ht="64.19999694824219" customHeight="1">
      <x:c r="A103" s="19" t="str">
        <x:v>PC-317-Z03</x:v>
      </x:c>
      <x:c r="B103" s="19" t="str">
        <x:v>317</x:v>
      </x:c>
      <x:c r="C103" s="19" t="str">
        <x:v>Z03</x:v>
      </x:c>
      <x:c r="D103" s="19" t="str">
        <x:v>parent_IV_active</x:v>
      </x:c>
      <x:c r="E103" s="19" t="str">
        <x:v>R</x:v>
      </x:c>
      <x:c r="F103" s="19" t="str">
        <x:v>X</x:v>
      </x:c>
      <x:c r="G103" s="19" t="str">
        <x:v>Stoppa egen sändning tills nödvändiga fakta är kända. Vid mottagning: avgör om fakta kan härledas ur giltigt meddelande/behörig struktur; lokalt kunskapsgap är inte automatiskt externt protokollfel.</x:v>
      </x:c>
      <x:c r="H103" s="19" t="str">
        <x:v>Utvärdera parent_group först. Inaktiv grupp gör barnets R/D icke-tillämpligt.</x:v>
      </x:c>
      <x:c r="I103" s="19" t="str"/>
      <x:c r="J103" s="19" t="str">
        <x:v>P §2.2 s.16–22; respektive fältnotering</x:v>
      </x:c>
    </x:row>
    <x:row r="104" ht="64.19999694824219" customHeight="1">
      <x:c r="A104" s="19" t="str">
        <x:v>PC-317-Z04</x:v>
      </x:c>
      <x:c r="B104" s="19" t="str">
        <x:v>317</x:v>
      </x:c>
      <x:c r="C104" s="19" t="str">
        <x:v>Z04</x:v>
      </x:c>
      <x:c r="D104" s="19" t="str">
        <x:v>parent_IV_active</x:v>
      </x:c>
      <x:c r="E104" s="19" t="str">
        <x:v>R</x:v>
      </x:c>
      <x:c r="F104" s="19" t="str">
        <x:v>X</x:v>
      </x:c>
      <x:c r="G104" s="19" t="str">
        <x:v>Stoppa egen sändning tills nödvändiga fakta är kända. Vid mottagning: avgör om fakta kan härledas ur giltigt meddelande/behörig struktur; lokalt kunskapsgap är inte automatiskt externt protokollfel.</x:v>
      </x:c>
      <x:c r="H104" s="19" t="str">
        <x:v>Utvärdera parent_group först. Inaktiv grupp gör barnets R/D icke-tillämpligt.</x:v>
      </x:c>
      <x:c r="I104" s="19" t="str"/>
      <x:c r="J104" s="19" t="str">
        <x:v>P §2.2 s.16–22; respektive fältnotering</x:v>
      </x:c>
    </x:row>
    <x:row r="105" ht="64.19999694824219" customHeight="1">
      <x:c r="A105" s="19" t="str">
        <x:v>PC-317-Z05</x:v>
      </x:c>
      <x:c r="B105" s="19" t="str">
        <x:v>317</x:v>
      </x:c>
      <x:c r="C105" s="19" t="str">
        <x:v>Z05</x:v>
      </x:c>
      <x:c r="D105" s="19" t="str">
        <x:v>parent_IV_active</x:v>
      </x:c>
      <x:c r="E105" s="19" t="str">
        <x:v>R</x:v>
      </x:c>
      <x:c r="F105" s="19" t="str">
        <x:v>X</x:v>
      </x:c>
      <x:c r="G105" s="19" t="str">
        <x:v>Stoppa egen sändning tills nödvändiga fakta är kända. Vid mottagning: avgör om fakta kan härledas ur giltigt meddelande/behörig struktur; lokalt kunskapsgap är inte automatiskt externt protokollfel.</x:v>
      </x:c>
      <x:c r="H105" s="19" t="str">
        <x:v>Utvärdera parent_group först. Inaktiv grupp gör barnets R/D icke-tillämpligt.</x:v>
      </x:c>
      <x:c r="I105" s="19" t="str"/>
      <x:c r="J105" s="19" t="str">
        <x:v>P §2.2 s.16–22; respektive fältnotering</x:v>
      </x:c>
    </x:row>
    <x:row r="106" ht="64.19999694824219" customHeight="1">
      <x:c r="A106" s="19" t="str">
        <x:v>PC-317-Z06</x:v>
      </x:c>
      <x:c r="B106" s="19" t="str">
        <x:v>317</x:v>
      </x:c>
      <x:c r="C106" s="19" t="str">
        <x:v>Z06</x:v>
      </x:c>
      <x:c r="D106" s="19" t="str">
        <x:v>parent_IV_active</x:v>
      </x:c>
      <x:c r="E106" s="19" t="str">
        <x:v>R</x:v>
      </x:c>
      <x:c r="F106" s="19" t="str">
        <x:v>X</x:v>
      </x:c>
      <x:c r="G106" s="19" t="str">
        <x:v>Stoppa egen sändning tills nödvändiga fakta är kända. Vid mottagning: avgör om fakta kan härledas ur giltigt meddelande/behörig struktur; lokalt kunskapsgap är inte automatiskt externt protokollfel.</x:v>
      </x:c>
      <x:c r="H106" s="19" t="str">
        <x:v>Utvärdera parent_group först. Inaktiv grupp gör barnets R/D icke-tillämpligt.</x:v>
      </x:c>
      <x:c r="I106" s="19" t="str"/>
      <x:c r="J106" s="19" t="str">
        <x:v>P §2.2 s.16–22; respektive fältnotering</x:v>
      </x:c>
    </x:row>
    <x:row r="107" ht="64.19999694824219" customHeight="1">
      <x:c r="A107" s="19" t="str">
        <x:v>PC-317-Z08</x:v>
      </x:c>
      <x:c r="B107" s="19" t="str">
        <x:v>317</x:v>
      </x:c>
      <x:c r="C107" s="19" t="str">
        <x:v>Z08</x:v>
      </x:c>
      <x:c r="D107" s="19" t="str">
        <x:v>parent_IV_active</x:v>
      </x:c>
      <x:c r="E107" s="19" t="str">
        <x:v>R</x:v>
      </x:c>
      <x:c r="F107" s="19" t="str">
        <x:v>X</x:v>
      </x:c>
      <x:c r="G107" s="19" t="str">
        <x:v>Stoppa egen sändning tills nödvändiga fakta är kända. Vid mottagning: avgör om fakta kan härledas ur giltigt meddelande/behörig struktur; lokalt kunskapsgap är inte automatiskt externt protokollfel.</x:v>
      </x:c>
      <x:c r="H107" s="19" t="str">
        <x:v>Utvärdera parent_group först. Inaktiv grupp gör barnets R/D icke-tillämpligt.</x:v>
      </x:c>
      <x:c r="I107" s="19" t="str"/>
      <x:c r="J107" s="19" t="str">
        <x:v>P §2.2 s.16–22; respektive fältnotering</x:v>
      </x:c>
    </x:row>
    <x:row r="108" ht="64.19999694824219" customHeight="1">
      <x:c r="A108" s="19" t="str">
        <x:v>PC-317-Z09</x:v>
      </x:c>
      <x:c r="B108" s="19" t="str">
        <x:v>317</x:v>
      </x:c>
      <x:c r="C108" s="19" t="str">
        <x:v>Z09</x:v>
      </x:c>
      <x:c r="D108" s="19" t="str">
        <x:v>parent_IV_active</x:v>
      </x:c>
      <x:c r="E108" s="19" t="str">
        <x:v>R</x:v>
      </x:c>
      <x:c r="F108" s="19" t="str">
        <x:v>X</x:v>
      </x:c>
      <x:c r="G108" s="19" t="str">
        <x:v>Stoppa egen sändning tills nödvändiga fakta är kända. Vid mottagning: avgör om fakta kan härledas ur giltigt meddelande/behörig struktur; lokalt kunskapsgap är inte automatiskt externt protokollfel.</x:v>
      </x:c>
      <x:c r="H108" s="19" t="str">
        <x:v>Utvärdera parent_group först. Inaktiv grupp gör barnets R/D icke-tillämpligt.</x:v>
      </x:c>
      <x:c r="I108" s="19" t="str"/>
      <x:c r="J108" s="19" t="str">
        <x:v>P §2.2 s.16–22; respektive fältnotering</x:v>
      </x:c>
    </x:row>
    <x:row r="109" ht="64.19999694824219" customHeight="1">
      <x:c r="A109" s="19" t="str">
        <x:v>PC-318-Z03</x:v>
      </x:c>
      <x:c r="B109" s="19" t="str">
        <x:v>318</x:v>
      </x:c>
      <x:c r="C109" s="19" t="str">
        <x:v>Z03</x:v>
      </x:c>
      <x:c r="D109" s="19" t="str">
        <x:v>parent_IV_active</x:v>
      </x:c>
      <x:c r="E109" s="19" t="str">
        <x:v>R</x:v>
      </x:c>
      <x:c r="F109" s="19" t="str">
        <x:v>X</x:v>
      </x:c>
      <x:c r="G109" s="19" t="str">
        <x:v>Stoppa egen sändning tills nödvändiga fakta är kända. Vid mottagning: avgör om fakta kan härledas ur giltigt meddelande/behörig struktur; lokalt kunskapsgap är inte automatiskt externt protokollfel.</x:v>
      </x:c>
      <x:c r="H109" s="19" t="str">
        <x:v>Utvärdera parent_group först. Inaktiv grupp gör barnets R/D icke-tillämpligt.</x:v>
      </x:c>
      <x:c r="I109" s="19" t="str"/>
      <x:c r="J109" s="19" t="str">
        <x:v>P §2.2 s.16–22; respektive fältnotering</x:v>
      </x:c>
    </x:row>
    <x:row r="110" ht="64.19999694824219" customHeight="1">
      <x:c r="A110" s="19" t="str">
        <x:v>PC-318-Z04</x:v>
      </x:c>
      <x:c r="B110" s="19" t="str">
        <x:v>318</x:v>
      </x:c>
      <x:c r="C110" s="19" t="str">
        <x:v>Z04</x:v>
      </x:c>
      <x:c r="D110" s="19" t="str">
        <x:v>parent_IV_active</x:v>
      </x:c>
      <x:c r="E110" s="19" t="str">
        <x:v>R</x:v>
      </x:c>
      <x:c r="F110" s="19" t="str">
        <x:v>X</x:v>
      </x:c>
      <x:c r="G110" s="19" t="str">
        <x:v>Stoppa egen sändning tills nödvändiga fakta är kända. Vid mottagning: avgör om fakta kan härledas ur giltigt meddelande/behörig struktur; lokalt kunskapsgap är inte automatiskt externt protokollfel.</x:v>
      </x:c>
      <x:c r="H110" s="19" t="str">
        <x:v>Utvärdera parent_group först. Inaktiv grupp gör barnets R/D icke-tillämpligt.</x:v>
      </x:c>
      <x:c r="I110" s="19" t="str"/>
      <x:c r="J110" s="19" t="str">
        <x:v>P §2.2 s.16–22; respektive fältnotering</x:v>
      </x:c>
    </x:row>
    <x:row r="111" ht="64.19999694824219" customHeight="1">
      <x:c r="A111" s="19" t="str">
        <x:v>PC-318-Z05</x:v>
      </x:c>
      <x:c r="B111" s="19" t="str">
        <x:v>318</x:v>
      </x:c>
      <x:c r="C111" s="19" t="str">
        <x:v>Z05</x:v>
      </x:c>
      <x:c r="D111" s="19" t="str">
        <x:v>parent_IV_active</x:v>
      </x:c>
      <x:c r="E111" s="19" t="str">
        <x:v>R</x:v>
      </x:c>
      <x:c r="F111" s="19" t="str">
        <x:v>X</x:v>
      </x:c>
      <x:c r="G111" s="19" t="str">
        <x:v>Stoppa egen sändning tills nödvändiga fakta är kända. Vid mottagning: avgör om fakta kan härledas ur giltigt meddelande/behörig struktur; lokalt kunskapsgap är inte automatiskt externt protokollfel.</x:v>
      </x:c>
      <x:c r="H111" s="19" t="str">
        <x:v>Utvärdera parent_group först. Inaktiv grupp gör barnets R/D icke-tillämpligt.</x:v>
      </x:c>
      <x:c r="I111" s="19" t="str"/>
      <x:c r="J111" s="19" t="str">
        <x:v>P §2.2 s.16–22; respektive fältnotering</x:v>
      </x:c>
    </x:row>
    <x:row r="112" ht="64.19999694824219" customHeight="1">
      <x:c r="A112" s="19" t="str">
        <x:v>PC-318-Z06</x:v>
      </x:c>
      <x:c r="B112" s="19" t="str">
        <x:v>318</x:v>
      </x:c>
      <x:c r="C112" s="19" t="str">
        <x:v>Z06</x:v>
      </x:c>
      <x:c r="D112" s="19" t="str">
        <x:v>parent_IV_active</x:v>
      </x:c>
      <x:c r="E112" s="19" t="str">
        <x:v>R</x:v>
      </x:c>
      <x:c r="F112" s="19" t="str">
        <x:v>X</x:v>
      </x:c>
      <x:c r="G112" s="19" t="str">
        <x:v>Stoppa egen sändning tills nödvändiga fakta är kända. Vid mottagning: avgör om fakta kan härledas ur giltigt meddelande/behörig struktur; lokalt kunskapsgap är inte automatiskt externt protokollfel.</x:v>
      </x:c>
      <x:c r="H112" s="19" t="str">
        <x:v>Utvärdera parent_group först. Inaktiv grupp gör barnets R/D icke-tillämpligt.</x:v>
      </x:c>
      <x:c r="I112" s="19" t="str"/>
      <x:c r="J112" s="19" t="str">
        <x:v>P §2.2 s.16–22; respektive fältnotering</x:v>
      </x:c>
    </x:row>
    <x:row r="113" ht="64.19999694824219" customHeight="1">
      <x:c r="A113" s="19" t="str">
        <x:v>PC-318-Z08</x:v>
      </x:c>
      <x:c r="B113" s="19" t="str">
        <x:v>318</x:v>
      </x:c>
      <x:c r="C113" s="19" t="str">
        <x:v>Z08</x:v>
      </x:c>
      <x:c r="D113" s="19" t="str">
        <x:v>parent_IV_active</x:v>
      </x:c>
      <x:c r="E113" s="19" t="str">
        <x:v>R</x:v>
      </x:c>
      <x:c r="F113" s="19" t="str">
        <x:v>X</x:v>
      </x:c>
      <x:c r="G113" s="19" t="str">
        <x:v>Stoppa egen sändning tills nödvändiga fakta är kända. Vid mottagning: avgör om fakta kan härledas ur giltigt meddelande/behörig struktur; lokalt kunskapsgap är inte automatiskt externt protokollfel.</x:v>
      </x:c>
      <x:c r="H113" s="19" t="str">
        <x:v>Utvärdera parent_group först. Inaktiv grupp gör barnets R/D icke-tillämpligt.</x:v>
      </x:c>
      <x:c r="I113" s="19" t="str"/>
      <x:c r="J113" s="19" t="str">
        <x:v>P §2.2 s.16–22; respektive fältnotering</x:v>
      </x:c>
    </x:row>
    <x:row r="114" ht="64.19999694824219" customHeight="1">
      <x:c r="A114" s="19" t="str">
        <x:v>PC-318-Z09</x:v>
      </x:c>
      <x:c r="B114" s="19" t="str">
        <x:v>318</x:v>
      </x:c>
      <x:c r="C114" s="19" t="str">
        <x:v>Z09</x:v>
      </x:c>
      <x:c r="D114" s="19" t="str">
        <x:v>parent_IV_active</x:v>
      </x:c>
      <x:c r="E114" s="19" t="str">
        <x:v>R</x:v>
      </x:c>
      <x:c r="F114" s="19" t="str">
        <x:v>X</x:v>
      </x:c>
      <x:c r="G114" s="19" t="str">
        <x:v>Stoppa egen sändning tills nödvändiga fakta är kända. Vid mottagning: avgör om fakta kan härledas ur giltigt meddelande/behörig struktur; lokalt kunskapsgap är inte automatiskt externt protokollfel.</x:v>
      </x:c>
      <x:c r="H114" s="19" t="str">
        <x:v>Utvärdera parent_group först. Inaktiv grupp gör barnets R/D icke-tillämpligt.</x:v>
      </x:c>
      <x:c r="I114" s="19" t="str"/>
      <x:c r="J114" s="19" t="str">
        <x:v>P §2.2 s.16–22; respektive fältnotering</x:v>
      </x:c>
    </x:row>
  </x:sheetData>
  <x:mergeCells>
    <x:mergeCell ref="A1:J1"/>
    <x:mergeCell ref="A2:J2"/>
  </x:mergeCells>
  <x:pageMargins left="0.7" right="0.7" top="0.75" bottom="0.75" header="0.3" footer="0.3"/>
  <x:tableParts count="1">
    <x:tablePart xmlns:r="http://schemas.openxmlformats.org/officeDocument/2006/relationships" r:id="R67ae90ea5095447c"/>
  </x:tableParts>
</x:worksheet>
</file>

<file path=xl/worksheets/sheet7.xml><?xml version="1.0" encoding="utf-8"?>
<x:worksheet xmlns:x="http://schemas.openxmlformats.org/spreadsheetml/2006/main">
  <x:sheetFormatPr defaultRowHeight="15"/>
  <x:cols>
    <x:col min="1" max="1" width="37" hidden="0" customWidth="1"/>
    <x:col min="2" max="2" width="12" hidden="0" customWidth="1"/>
    <x:col min="3" max="3" width="20" hidden="0" customWidth="1"/>
    <x:col min="4" max="4" width="17" hidden="0" customWidth="1"/>
    <x:col min="5" max="5" width="35" hidden="0" customWidth="1"/>
    <x:col min="6" max="6" width="35" hidden="0" customWidth="1"/>
    <x:col min="7" max="7" width="45" hidden="0" customWidth="1"/>
    <x:col min="8" max="8" width="44" hidden="0" customWidth="1"/>
    <x:col min="9" max="9" width="42" hidden="0" customWidth="1"/>
    <x:col min="10" max="10" width="50" hidden="0" customWidth="1"/>
    <x:col min="11" max="11" width="40" hidden="0" customWidth="1"/>
    <x:col min="12" max="12" width="40" hidden="0" customWidth="1"/>
  </x:cols>
  <x:sheetData>
    <x:row r="1" ht="30" customHeight="1">
      <x:c r="A1" s="3" t="str">
        <x:v>UTILTS-kapabilitet · Gridex Ediel v2</x:v>
      </x:c>
      <x:c r="B1" s="3"/>
      <x:c r="C1" s="3"/>
      <x:c r="D1" s="3"/>
      <x:c r="E1" s="3"/>
      <x:c r="F1" s="3"/>
      <x:c r="G1" s="3"/>
      <x:c r="H1" s="3"/>
      <x:c r="I1" s="3"/>
      <x:c r="J1" s="3"/>
      <x:c r="K1" s="3"/>
      <x:c r="L1" s="3"/>
    </x:row>
    <x:row r="2" ht="34" customHeight="1">
      <x:c r="A2" s="8" t="str">
        <x:v>22 roll-/riktningsposter, inklusive bilateralt begränsade och uttryckligen avstängda profiler.</x:v>
      </x:c>
      <x:c r="B2" s="8"/>
      <x:c r="C2" s="8"/>
      <x:c r="D2" s="8"/>
      <x:c r="E2" s="8"/>
      <x:c r="F2" s="8"/>
      <x:c r="G2" s="8"/>
      <x:c r="H2" s="8"/>
      <x:c r="I2" s="8"/>
      <x:c r="J2" s="8"/>
      <x:c r="K2" s="8"/>
      <x:c r="L2" s="8"/>
    </x:row>
    <x:row r="4" ht="37" customHeight="1">
      <x:c r="A4" s="14" t="str">
        <x:v>Kapabilitets-id</x:v>
      </x:c>
      <x:c r="B4" s="14" t="str">
        <x:v>Kod</x:v>
      </x:c>
      <x:c r="C4" s="14" t="str">
        <x:v>Roll</x:v>
      </x:c>
      <x:c r="D4" s="14" t="str">
        <x:v>Riktning</x:v>
      </x:c>
      <x:c r="E4" s="14" t="str">
        <x:v>Juridisk avsändare</x:v>
      </x:c>
      <x:c r="F4" s="14" t="str">
        <x:v>Juridisk mottagare</x:v>
      </x:c>
      <x:c r="G4" s="14" t="str">
        <x:v>Betydelse</x:v>
      </x:c>
      <x:c r="H4" s="14" t="str">
        <x:v>Application Reference</x:v>
      </x:c>
      <x:c r="I4" s="14" t="str">
        <x:v>Förväntat svar</x:v>
      </x:c>
      <x:c r="J4" s="14" t="str">
        <x:v>Villkor</x:v>
      </x:c>
      <x:c r="K4" s="14" t="str">
        <x:v>Aktivering</x:v>
      </x:c>
      <x:c r="L4" s="14" t="str">
        <x:v>Källa</x:v>
      </x:c>
    </x:row>
    <x:row r="5" ht="36.599998474121094" customHeight="1">
      <x:c r="A5" s="19" t="str">
        <x:v>UCASE-E66-SUPPLIER-inbound</x:v>
      </x:c>
      <x:c r="B5" s="19" t="str">
        <x:v>E66</x:v>
      </x:c>
      <x:c r="C5" s="19" t="str">
        <x:v>SUPPLIER</x:v>
      </x:c>
      <x:c r="D5" s="19" t="str">
        <x:v>inbound</x:v>
      </x:c>
      <x:c r="E5" s="19" t="str">
        <x:v>Nätägare/Metered Data Responsible</x:v>
      </x:c>
      <x:c r="F5" s="19" t="str">
        <x:v>DDQ</x:v>
      </x:c>
      <x:c r="G5" s="19" t="str">
        <x:v>Validerade mätvärden per objekt.</x:v>
      </x:c>
      <x:c r="H5" s="19" t="str">
        <x:v>23-DDQ-E66-S eller -T enligt aktuell profil</x:v>
      </x:c>
      <x:c r="I5" s="19" t="str">
        <x:v>CONTRL; transaktionsvis APERAK eller UTILTS-ERR.</x:v>
      </x:c>
      <x:c r="J5" s="19" t="str">
        <x:v>Verifierad leveransrelation i DDQ-rollen; rätt objekt, produkt och period.</x:v>
      </x:c>
      <x:c r="K5" s="19" t="str">
        <x:v>Planerad kapabilitet</x:v>
      </x:c>
      <x:c r="L5" s="19" t="str">
        <x:v>U §3.1,3.7; T §5</x:v>
      </x:c>
    </x:row>
    <x:row r="6" ht="50.400001525878906" customHeight="1">
      <x:c r="A6" s="19" t="str">
        <x:v>UCASE-E73-SUPPLIER-outbound</x:v>
      </x:c>
      <x:c r="B6" s="19" t="str">
        <x:v>E73</x:v>
      </x:c>
      <x:c r="C6" s="19" t="str">
        <x:v>SUPPLIER</x:v>
      </x:c>
      <x:c r="D6" s="19" t="str">
        <x:v>outbound</x:v>
      </x:c>
      <x:c r="E6" s="19" t="str">
        <x:v>DDQ</x:v>
      </x:c>
      <x:c r="F6" s="19" t="str">
        <x:v>Nätägare/Metered Data Responsible</x:v>
      </x:c>
      <x:c r="G6" s="19" t="str">
        <x:v>Begär saknade validerade värden/prognos enligt tillåten mottagarroll.</x:v>
      </x:c>
      <x:c r="H6" s="19" t="str">
        <x:v>Referensen för den BEGÄRDA meddelandetypen, inte automatiskt E73</x:v>
      </x:c>
      <x:c r="I6" s="19" t="str">
        <x:v>CONTRL/AP enligt profilen; begärda data eller föreskrivet felutfall.</x:v>
      </x:c>
      <x:c r="J6" s="19" t="str">
        <x:v>Preciserad bilateral användning och datarätt. ESCO får inte anta rätt till S02 bara för att E73 stöder S02 som typ.</x:v>
      </x:c>
      <x:c r="K6" s="19" t="str">
        <x:v>Bilateral och begärd-typ-behörighet</x:v>
      </x:c>
      <x:c r="L6" s="19" t="str">
        <x:v>U §3.1,3.7; T §5</x:v>
      </x:c>
    </x:row>
    <x:row r="7" ht="36.599998474121094" customHeight="1">
      <x:c r="A7" s="19" t="str">
        <x:v>UCASE-ERR-SUPPLIER-outbound</x:v>
      </x:c>
      <x:c r="B7" s="19" t="str">
        <x:v>ERR</x:v>
      </x:c>
      <x:c r="C7" s="19" t="str">
        <x:v>SUPPLIER</x:v>
      </x:c>
      <x:c r="D7" s="19" t="str">
        <x:v>outbound</x:v>
      </x:c>
      <x:c r="E7" s="19" t="str">
        <x:v>DDQ</x:v>
      </x:c>
      <x:c r="F7" s="19" t="str">
        <x:v>Originalets juridiska avsändare</x:v>
      </x:c>
      <x:c r="G7" s="19" t="str">
        <x:v>Funktionsfel på mottagen transaktion.</x:v>
      </x:c>
      <x:c r="H7" s="19" t="str">
        <x:v>Samma kontext som originalet</x:v>
      </x:c>
      <x:c r="I7" s="19" t="str">
        <x:v>CONTRL och APERAK enligt ERR-profil.</x:v>
      </x:c>
      <x:c r="J7" s="19" t="str">
        <x:v>Endast efter korrekt guidevalidering; rätt originalreferenser.</x:v>
      </x:c>
      <x:c r="K7" s="19" t="str">
        <x:v>Planerad kapabilitet</x:v>
      </x:c>
      <x:c r="L7" s="19" t="str">
        <x:v>U §3.1,3.7; T §5</x:v>
      </x:c>
    </x:row>
    <x:row r="8" ht="50.400001525878906" customHeight="1">
      <x:c r="A8" s="19" t="str">
        <x:v>UCASE-ERR-SUPPLIER-inbound</x:v>
      </x:c>
      <x:c r="B8" s="19" t="str">
        <x:v>ERR</x:v>
      </x:c>
      <x:c r="C8" s="19" t="str">
        <x:v>SUPPLIER</x:v>
      </x:c>
      <x:c r="D8" s="19" t="str">
        <x:v>inbound</x:v>
      </x:c>
      <x:c r="E8" s="19" t="str">
        <x:v>Motpart</x:v>
      </x:c>
      <x:c r="F8" s="19" t="str">
        <x:v>DDQ</x:v>
      </x:c>
      <x:c r="G8" s="19" t="str">
        <x:v>Avvisning av egen UTILTS-transaktion, t.ex. request där tillämpligt.</x:v>
      </x:c>
      <x:c r="H8" s="19" t="str">
        <x:v>Originalets kontext</x:v>
      </x:c>
      <x:c r="I8" s="19" t="str">
        <x:v>CONTRL och föreskriven APERAK; ingen ny ERR.</x:v>
      </x:c>
      <x:c r="J8" s="19" t="str">
        <x:v>Måste korreleras till faktisk egen sändning; en oanvänd utgående profil får inte skapa fiktivt original.</x:v>
      </x:c>
      <x:c r="K8" s="19" t="str">
        <x:v>Planerad kapabilitet</x:v>
      </x:c>
      <x:c r="L8" s="19" t="str">
        <x:v>U §3.1,3.7; T §5</x:v>
      </x:c>
    </x:row>
    <x:row r="9" ht="50.400001525878906" customHeight="1">
      <x:c r="A9" s="19" t="str">
        <x:v>UCASE-E66-ESCO-inbound</x:v>
      </x:c>
      <x:c r="B9" s="19" t="str">
        <x:v>E66</x:v>
      </x:c>
      <x:c r="C9" s="19" t="str">
        <x:v>ESCO</x:v>
      </x:c>
      <x:c r="D9" s="19" t="str">
        <x:v>inbound</x:v>
      </x:c>
      <x:c r="E9" s="19" t="str">
        <x:v>Nätägare/Metered Data Responsible</x:v>
      </x:c>
      <x:c r="F9" s="19" t="str">
        <x:v>DGI</x:v>
      </x:c>
      <x:c r="G9" s="19" t="str">
        <x:v>Validerade mätvärden per objekt.</x:v>
      </x:c>
      <x:c r="H9" s="19" t="str">
        <x:v>23-DGI-E66-S eller -T enligt aktuell profil</x:v>
      </x:c>
      <x:c r="I9" s="19" t="str">
        <x:v>CONTRL; transaktionsvis APERAK eller UTILTS-ERR.</x:v>
      </x:c>
      <x:c r="J9" s="19" t="str">
        <x:v>Verifierat marknadstillstånd i DGI-rollen; rätt objekt, produkt och period. E23 är normal anledning om inte annat överenskommits.</x:v>
      </x:c>
      <x:c r="K9" s="19" t="str">
        <x:v>Planerad kapabilitet</x:v>
      </x:c>
      <x:c r="L9" s="19" t="str">
        <x:v>U §3.1,3.7; T §5</x:v>
      </x:c>
    </x:row>
    <x:row r="10" ht="50.400001525878906" customHeight="1">
      <x:c r="A10" s="19" t="str">
        <x:v>UCASE-E73-ESCO-outbound</x:v>
      </x:c>
      <x:c r="B10" s="19" t="str">
        <x:v>E73</x:v>
      </x:c>
      <x:c r="C10" s="19" t="str">
        <x:v>ESCO</x:v>
      </x:c>
      <x:c r="D10" s="19" t="str">
        <x:v>outbound</x:v>
      </x:c>
      <x:c r="E10" s="19" t="str">
        <x:v>DGI</x:v>
      </x:c>
      <x:c r="F10" s="19" t="str">
        <x:v>Nätägare/Metered Data Responsible</x:v>
      </x:c>
      <x:c r="G10" s="19" t="str">
        <x:v>Begär saknade E66-värden i behörig ESCO-relation; annan efterfrågad typ kräver uttryckligt roll- och källstöd.</x:v>
      </x:c>
      <x:c r="H10" s="19" t="str">
        <x:v>Referensen för den BEGÄRDA meddelandetypen, inte automatiskt E73</x:v>
      </x:c>
      <x:c r="I10" s="19" t="str">
        <x:v>CONTRL/AP enligt profilen; begärda data eller föreskrivet felutfall.</x:v>
      </x:c>
      <x:c r="J10" s="19" t="str">
        <x:v>Preciserad bilateral användning och datarätt. ESCO får inte anta rätt till S02 bara för att E73 stöder S02 som typ.</x:v>
      </x:c>
      <x:c r="K10" s="19" t="str">
        <x:v>Bilateral och begärd-typ-behörighet</x:v>
      </x:c>
      <x:c r="L10" s="19" t="str">
        <x:v>U §3.1,3.7; T §5</x:v>
      </x:c>
    </x:row>
    <x:row r="11" ht="36.599998474121094" customHeight="1">
      <x:c r="A11" s="19" t="str">
        <x:v>UCASE-ERR-ESCO-outbound</x:v>
      </x:c>
      <x:c r="B11" s="19" t="str">
        <x:v>ERR</x:v>
      </x:c>
      <x:c r="C11" s="19" t="str">
        <x:v>ESCO</x:v>
      </x:c>
      <x:c r="D11" s="19" t="str">
        <x:v>outbound</x:v>
      </x:c>
      <x:c r="E11" s="19" t="str">
        <x:v>DGI</x:v>
      </x:c>
      <x:c r="F11" s="19" t="str">
        <x:v>Originalets juridiska avsändare</x:v>
      </x:c>
      <x:c r="G11" s="19" t="str">
        <x:v>Funktionsfel på mottagen transaktion.</x:v>
      </x:c>
      <x:c r="H11" s="19" t="str">
        <x:v>Samma kontext som originalet</x:v>
      </x:c>
      <x:c r="I11" s="19" t="str">
        <x:v>CONTRL och APERAK enligt ERR-profil.</x:v>
      </x:c>
      <x:c r="J11" s="19" t="str">
        <x:v>Endast efter korrekt guidevalidering; rätt originalreferenser.</x:v>
      </x:c>
      <x:c r="K11" s="19" t="str">
        <x:v>Planerad kapabilitet</x:v>
      </x:c>
      <x:c r="L11" s="19" t="str">
        <x:v>U §3.1,3.7; T §5</x:v>
      </x:c>
    </x:row>
    <x:row r="12" ht="50.400001525878906" customHeight="1">
      <x:c r="A12" s="19" t="str">
        <x:v>UCASE-ERR-ESCO-inbound</x:v>
      </x:c>
      <x:c r="B12" s="19" t="str">
        <x:v>ERR</x:v>
      </x:c>
      <x:c r="C12" s="19" t="str">
        <x:v>ESCO</x:v>
      </x:c>
      <x:c r="D12" s="19" t="str">
        <x:v>inbound</x:v>
      </x:c>
      <x:c r="E12" s="19" t="str">
        <x:v>Motpart</x:v>
      </x:c>
      <x:c r="F12" s="19" t="str">
        <x:v>DGI</x:v>
      </x:c>
      <x:c r="G12" s="19" t="str">
        <x:v>Avvisning av egen UTILTS-transaktion, t.ex. request där tillämpligt.</x:v>
      </x:c>
      <x:c r="H12" s="19" t="str">
        <x:v>Originalets kontext</x:v>
      </x:c>
      <x:c r="I12" s="19" t="str">
        <x:v>CONTRL och föreskriven APERAK; ingen ny ERR.</x:v>
      </x:c>
      <x:c r="J12" s="19" t="str">
        <x:v>Måste korreleras till faktisk egen sändning; en oanvänd utgående profil får inte skapa fiktivt original.</x:v>
      </x:c>
      <x:c r="K12" s="19" t="str">
        <x:v>Planerad kapabilitet</x:v>
      </x:c>
      <x:c r="L12" s="19" t="str">
        <x:v>U §3.1,3.7; T §5</x:v>
      </x:c>
    </x:row>
    <x:row r="13" ht="36.599998474121094" customHeight="1">
      <x:c r="A13" s="19" t="str">
        <x:v>UCASE-S02-SUPPLIER-inbound</x:v>
      </x:c>
      <x:c r="B13" s="19" t="str">
        <x:v>S02</x:v>
      </x:c>
      <x:c r="C13" s="19" t="str">
        <x:v>SUPPLIER</x:v>
      </x:c>
      <x:c r="D13" s="19" t="str">
        <x:v>inbound</x:v>
      </x:c>
      <x:c r="E13" s="19" t="str">
        <x:v>Nätägare</x:v>
      </x:c>
      <x:c r="F13" s="19" t="str">
        <x:v>DDQ</x:v>
      </x:c>
      <x:c r="G13" s="19" t="str">
        <x:v>Förbrukningsprognos per objekt.</x:v>
      </x:c>
      <x:c r="H13" s="19" t="str">
        <x:v>23-DDQ-S02-S</x:v>
      </x:c>
      <x:c r="I13" s="19" t="str">
        <x:v>CONTRL/AP eller korrekt ERR per kontrollnivå.</x:v>
      </x:c>
      <x:c r="J13" s="19" t="str">
        <x:v>Prognos ≠ uppmätt energi; får inte obemärkt bli fakturaunderlag.</x:v>
      </x:c>
      <x:c r="K13" s="19" t="str">
        <x:v>Planerad kapabilitet</x:v>
      </x:c>
      <x:c r="L13" s="19" t="str">
        <x:v>U §3.1,3.7; T §5</x:v>
      </x:c>
    </x:row>
    <x:row r="14" ht="36.599998474121094" customHeight="1">
      <x:c r="A14" s="19" t="str">
        <x:v>UCASE-S03-SUPPLIER-inbound</x:v>
      </x:c>
      <x:c r="B14" s="19" t="str">
        <x:v>S03</x:v>
      </x:c>
      <x:c r="C14" s="19" t="str">
        <x:v>SUPPLIER</x:v>
      </x:c>
      <x:c r="D14" s="19" t="str">
        <x:v>inbound</x:v>
      </x:c>
      <x:c r="E14" s="19" t="str">
        <x:v>Nätägare/aggregator</x:v>
      </x:c>
      <x:c r="F14" s="19" t="str">
        <x:v>DDQ</x:v>
      </x:c>
      <x:c r="G14" s="19" t="str">
        <x:v>Preliminära andelstal/planvärden.</x:v>
      </x:c>
      <x:c r="H14" s="19" t="str">
        <x:v>23-DDQ-S03-S</x:v>
      </x:c>
      <x:c r="I14" s="19" t="str">
        <x:v>CONTRL/AP/ERR enligt profilen.</x:v>
      </x:c>
      <x:c r="J14" s="19" t="str">
        <x:v>Aggregatscope; inte individuell customer_id-länk.</x:v>
      </x:c>
      <x:c r="K14" s="19" t="str">
        <x:v>Aggregat – exempelpaket G02 återstår</x:v>
      </x:c>
      <x:c r="L14" s="19" t="str">
        <x:v>U §3.1,3.7; T §5</x:v>
      </x:c>
    </x:row>
    <x:row r="15" ht="36.599998474121094" customHeight="1">
      <x:c r="A15" s="19" t="str">
        <x:v>UCASE-E31-SUPPLIER-inbound</x:v>
      </x:c>
      <x:c r="B15" s="19" t="str">
        <x:v>E31</x:v>
      </x:c>
      <x:c r="C15" s="19" t="str">
        <x:v>SUPPLIER</x:v>
      </x:c>
      <x:c r="D15" s="19" t="str">
        <x:v>inbound</x:v>
      </x:c>
      <x:c r="E15" s="19" t="str">
        <x:v>Nätägare/aggregator</x:v>
      </x:c>
      <x:c r="F15" s="19" t="str">
        <x:v>DDQ</x:v>
      </x:c>
      <x:c r="G15" s="19" t="str">
        <x:v>Aggregerade mätvärden och relevanta slutliga andelstal.</x:v>
      </x:c>
      <x:c r="H15" s="19" t="str">
        <x:v>23-DDQ-E31-S eller -T</x:v>
      </x:c>
      <x:c r="I15" s="19" t="str">
        <x:v>CONTRL/AP/ERR per transaktion.</x:v>
      </x:c>
      <x:c r="J15" s="19" t="str">
        <x:v>Område, parter och tidsserieprodukt krävs enligt produktens komponenter.</x:v>
      </x:c>
      <x:c r="K15" s="19" t="str">
        <x:v>Aggregat – exempelpaket G02 återstår</x:v>
      </x:c>
      <x:c r="L15" s="19" t="str">
        <x:v>U §3.1,3.7; T §5</x:v>
      </x:c>
    </x:row>
    <x:row r="16" ht="36.599998474121094" customHeight="1">
      <x:c r="A16" s="19" t="str">
        <x:v>UCASE-S05-SUPPLIER-inbound</x:v>
      </x:c>
      <x:c r="B16" s="19" t="str">
        <x:v>S05</x:v>
      </x:c>
      <x:c r="C16" s="19" t="str">
        <x:v>SUPPLIER</x:v>
      </x:c>
      <x:c r="D16" s="19" t="str">
        <x:v>inbound</x:v>
      </x:c>
      <x:c r="E16" s="19" t="str">
        <x:v>Balansansvarig</x:v>
      </x:c>
      <x:c r="F16" s="19" t="str">
        <x:v>DDQ</x:v>
      </x:c>
      <x:c r="G16" s="19" t="str">
        <x:v>Aggregerade avräkningsvärden.</x:v>
      </x:c>
      <x:c r="H16" s="19" t="str">
        <x:v>23-DDQ-S05-S eller tillämplig processtyp</x:v>
      </x:c>
      <x:c r="I16" s="19" t="str">
        <x:v>CONTRL/AP/ERR enligt profil.</x:v>
      </x:c>
      <x:c r="J16" s="19" t="str">
        <x:v>Konkret BRP-gränssnitt, relevanta produkter och mottagaromfattning måste vara fastställda.</x:v>
      </x:c>
      <x:c r="K16" s="19" t="str">
        <x:v>Avtal-/produktberoende G02/G04</x:v>
      </x:c>
      <x:c r="L16" s="19" t="str">
        <x:v>U §3.1,3.7; T §5</x:v>
      </x:c>
    </x:row>
    <x:row r="17" ht="36.599998474121094" customHeight="1">
      <x:c r="A17" s="19" t="str">
        <x:v>UCASE-E74-SUPPLIER-outbound</x:v>
      </x:c>
      <x:c r="B17" s="19" t="str">
        <x:v>E74</x:v>
      </x:c>
      <x:c r="C17" s="19" t="str">
        <x:v>SUPPLIER</x:v>
      </x:c>
      <x:c r="D17" s="19" t="str">
        <x:v>outbound</x:v>
      </x:c>
      <x:c r="E17" s="19" t="str">
        <x:v>DDQ</x:v>
      </x:c>
      <x:c r="F17" s="19" t="str">
        <x:v>Nätägare/aggregator</x:v>
      </x:c>
      <x:c r="G17" s="19" t="str">
        <x:v>Begär saknade S03/E31.</x:v>
      </x:c>
      <x:c r="H17" s="19" t="str">
        <x:v>Referensen för begärd S03/E31</x:v>
      </x:c>
      <x:c r="I17" s="19" t="str">
        <x:v>CONTRL/AP och begärda data/fel.</x:v>
      </x:c>
      <x:c r="J17" s="19" t="str">
        <x:v>Bilateral kapabilitet; rätt aggregation, parter och period.</x:v>
      </x:c>
      <x:c r="K17" s="19" t="str">
        <x:v>Bilateral</x:v>
      </x:c>
      <x:c r="L17" s="19" t="str">
        <x:v>U §3.1,3.7; T §5</x:v>
      </x:c>
    </x:row>
    <x:row r="18" ht="36.599998474121094" customHeight="1">
      <x:c r="A18" s="19" t="str">
        <x:v>UCASE-S07-SUPPLIER-outbound</x:v>
      </x:c>
      <x:c r="B18" s="19" t="str">
        <x:v>S07</x:v>
      </x:c>
      <x:c r="C18" s="19" t="str">
        <x:v>SUPPLIER</x:v>
      </x:c>
      <x:c r="D18" s="19" t="str">
        <x:v>outbound</x:v>
      </x:c>
      <x:c r="E18" s="19" t="str">
        <x:v>DDQ</x:v>
      </x:c>
      <x:c r="F18" s="19" t="str">
        <x:v>Behörig mottagarroll enligt profilen</x:v>
      </x:c>
      <x:c r="G18" s="19" t="str">
        <x:v>Tidsserie per objekt som rapporteras av leverantören.</x:v>
      </x:c>
      <x:c r="H18" s="19" t="str">
        <x:v>23-DDQ/DEC/DDK-S07-S eller -T enligt faktisk mottagarroll</x:v>
      </x:c>
      <x:c r="I18" s="19" t="str">
        <x:v>CONTRL/AP/ERR</x:v>
      </x:c>
      <x:c r="J18" s="19" t="str">
        <x:v>Inte standardväg för intern tenantdistribution; kräver uttrycklig användningsprofil och avtal.</x:v>
      </x:c>
      <x:c r="K18" s="19" t="str">
        <x:v>Valbar bilateral funktion</x:v>
      </x:c>
      <x:c r="L18" s="19" t="str">
        <x:v>U §3.1,3.7; T §5</x:v>
      </x:c>
    </x:row>
    <x:row r="19" ht="50.400001525878906" customHeight="1">
      <x:c r="A19" s="19" t="str">
        <x:v>UCASE-S07-SUPPLIER-inbound</x:v>
      </x:c>
      <x:c r="B19" s="19" t="str">
        <x:v>S07</x:v>
      </x:c>
      <x:c r="C19" s="19" t="str">
        <x:v>SUPPLIER</x:v>
      </x:c>
      <x:c r="D19" s="19" t="str">
        <x:v>inbound</x:v>
      </x:c>
      <x:c r="E19" s="19" t="str">
        <x:v>Leverantör i tillämplig roll</x:v>
      </x:c>
      <x:c r="F19" s="19" t="str">
        <x:v>DDQ enligt den överenskomna profilen</x:v>
      </x:c>
      <x:c r="G19" s="19" t="str">
        <x:v>Mottagning av avtalad objekttidsserie från en annan leverantör.</x:v>
      </x:c>
      <x:c r="H19" s="19" t="str">
        <x:v>23-DDQ/DEC/DDK-S07-S eller -T enligt faktisk mottagarroll</x:v>
      </x:c>
      <x:c r="I19" s="19" t="str">
        <x:v>CONTRL/AP/ERR</x:v>
      </x:c>
      <x:c r="J19" s="19" t="str">
        <x:v>Valfri bilateral kapabilitet, inte standardaktiverad. Full produkt-/rollprofil och avtal ska verifieras före aktivering.</x:v>
      </x:c>
      <x:c r="K19" s="19" t="str">
        <x:v>Valbar bilateral funktion</x:v>
      </x:c>
      <x:c r="L19" s="19" t="str">
        <x:v>U §3.1,3.7; T §5</x:v>
      </x:c>
    </x:row>
    <x:row r="20" ht="50.400001525878906" customHeight="1">
      <x:c r="A20" s="19" t="str">
        <x:v>UCASE-S01-SUPPLIER/ESCO-disabled</x:v>
      </x:c>
      <x:c r="B20" s="19" t="str">
        <x:v>S01</x:v>
      </x:c>
      <x:c r="C20" s="19" t="str">
        <x:v>SUPPLIER/ESCO</x:v>
      </x:c>
      <x:c r="D20" s="19" t="str">
        <x:v>disabled</x:v>
      </x:c>
      <x:c r="E20" s="19" t="str">
        <x:v>Ej vår standardroll</x:v>
      </x:c>
      <x:c r="F20" s="19" t="str">
        <x:v>Ej vår standardroll</x:v>
      </x:c>
      <x:c r="G20" s="19" t="str">
        <x:v>Avräkningsansvarig till nätägare/BRP/särskild annan godkänd roll; inte normal DDQ/DGI-funktion.</x:v>
      </x:c>
      <x:c r="H20" s="19" t="str">
        <x:v>Ingen genererad produktionsreferens</x:v>
      </x:c>
      <x:c r="I20" s="19" t="str">
        <x:v>Ingen påhittad normal affärseffekt.</x:v>
      </x:c>
      <x:c r="J20" s="19" t="str">
        <x:v>Kunna känna igen och diagnostisera där lämpligt; ny roll och komplett källa krävs för eventuell framtida aktivering.</x:v>
      </x:c>
      <x:c r="K20" s="19" t="str">
        <x:v>Ej produktionsaktiverad</x:v>
      </x:c>
      <x:c r="L20" s="19" t="str">
        <x:v>U §3.1,3.7; T §5</x:v>
      </x:c>
    </x:row>
    <x:row r="21" ht="50.400001525878906" customHeight="1">
      <x:c r="A21" s="19" t="str">
        <x:v>UCASE-S04-SUPPLIER/ESCO-disabled</x:v>
      </x:c>
      <x:c r="B21" s="19" t="str">
        <x:v>S04</x:v>
      </x:c>
      <x:c r="C21" s="19" t="str">
        <x:v>SUPPLIER/ESCO</x:v>
      </x:c>
      <x:c r="D21" s="19" t="str">
        <x:v>disabled</x:v>
      </x:c>
      <x:c r="E21" s="19" t="str">
        <x:v>Ej vår standardroll</x:v>
      </x:c>
      <x:c r="F21" s="19" t="str">
        <x:v>Ej vår standardroll</x:v>
      </x:c>
      <x:c r="G21" s="19" t="str">
        <x:v>Avräkningsansvarig till BRP; inte normal DDQ/DGI-funktion.</x:v>
      </x:c>
      <x:c r="H21" s="19" t="str">
        <x:v>Ingen genererad produktionsreferens</x:v>
      </x:c>
      <x:c r="I21" s="19" t="str">
        <x:v>Ingen påhittad normal affärseffekt.</x:v>
      </x:c>
      <x:c r="J21" s="19" t="str">
        <x:v>Kunna känna igen och diagnostisera där lämpligt; ny roll och komplett källa krävs för eventuell framtida aktivering.</x:v>
      </x:c>
      <x:c r="K21" s="19" t="str">
        <x:v>Ej produktionsaktiverad</x:v>
      </x:c>
      <x:c r="L21" s="19" t="str">
        <x:v>U §3.1,3.7; T §5</x:v>
      </x:c>
    </x:row>
    <x:row r="22" ht="50.400001525878906" customHeight="1">
      <x:c r="A22" s="19" t="str">
        <x:v>UCASE-E30-SUPPLIER/ESCO-disabled</x:v>
      </x:c>
      <x:c r="B22" s="19" t="str">
        <x:v>E30</x:v>
      </x:c>
      <x:c r="C22" s="19" t="str">
        <x:v>SUPPLIER/ESCO</x:v>
      </x:c>
      <x:c r="D22" s="19" t="str">
        <x:v>disabled</x:v>
      </x:c>
      <x:c r="E22" s="19" t="str">
        <x:v>Ej vår standardroll</x:v>
      </x:c>
      <x:c r="F22" s="19" t="str">
        <x:v>Ej vår standardroll</x:v>
      </x:c>
      <x:c r="G22" s="19" t="str">
        <x:v>Mätvärdesinsamlares rapport till nätägare; inte legal ESCO:s vanliga marknadsuppgift.</x:v>
      </x:c>
      <x:c r="H22" s="19" t="str">
        <x:v>Ingen genererad produktionsreferens</x:v>
      </x:c>
      <x:c r="I22" s="19" t="str">
        <x:v>Ingen påhittad normal affärseffekt.</x:v>
      </x:c>
      <x:c r="J22" s="19" t="str">
        <x:v>Kunna känna igen och diagnostisera där lämpligt; ny roll och komplett källa krävs för eventuell framtida aktivering.</x:v>
      </x:c>
      <x:c r="K22" s="19" t="str">
        <x:v>Ej produktionsaktiverad</x:v>
      </x:c>
      <x:c r="L22" s="19" t="str">
        <x:v>U §3.1,3.7; T §5</x:v>
      </x:c>
    </x:row>
    <x:row r="23" ht="50.400001525878906" customHeight="1">
      <x:c r="A23" s="19" t="str">
        <x:v>UCASE-E72-SUPPLIER/ESCO-disabled</x:v>
      </x:c>
      <x:c r="B23" s="19" t="str">
        <x:v>E72</x:v>
      </x:c>
      <x:c r="C23" s="19" t="str">
        <x:v>SUPPLIER/ESCO</x:v>
      </x:c>
      <x:c r="D23" s="19" t="str">
        <x:v>disabled</x:v>
      </x:c>
      <x:c r="E23" s="19" t="str">
        <x:v>Ej vår standardroll</x:v>
      </x:c>
      <x:c r="F23" s="19" t="str">
        <x:v>Ej vår standardroll</x:v>
      </x:c>
      <x:c r="G23" s="19" t="str">
        <x:v>Begäran av E30 till insamlare; annan marknadsroll.</x:v>
      </x:c>
      <x:c r="H23" s="19" t="str">
        <x:v>Ingen genererad produktionsreferens</x:v>
      </x:c>
      <x:c r="I23" s="19" t="str">
        <x:v>Ingen påhittad normal affärseffekt.</x:v>
      </x:c>
      <x:c r="J23" s="19" t="str">
        <x:v>Kunna känna igen och diagnostisera där lämpligt; ny roll och komplett källa krävs för eventuell framtida aktivering.</x:v>
      </x:c>
      <x:c r="K23" s="19" t="str">
        <x:v>Ej produktionsaktiverad</x:v>
      </x:c>
      <x:c r="L23" s="19" t="str">
        <x:v>U §3.1,3.7; T §5</x:v>
      </x:c>
    </x:row>
    <x:row r="24" ht="50.400001525878906" customHeight="1">
      <x:c r="A24" s="19" t="str">
        <x:v>UCASE-S06-SUPPLIER/ESCO-disabled</x:v>
      </x:c>
      <x:c r="B24" s="19" t="str">
        <x:v>S06</x:v>
      </x:c>
      <x:c r="C24" s="19" t="str">
        <x:v>SUPPLIER/ESCO</x:v>
      </x:c>
      <x:c r="D24" s="19" t="str">
        <x:v>disabled</x:v>
      </x:c>
      <x:c r="E24" s="19" t="str">
        <x:v>Ej vår standardroll</x:v>
      </x:c>
      <x:c r="F24" s="19" t="str">
        <x:v>Ej vår standardroll</x:v>
      </x:c>
      <x:c r="G24" s="19" t="str">
        <x:v>Inte taget i bruk.</x:v>
      </x:c>
      <x:c r="H24" s="19" t="str">
        <x:v>Ingen genererad produktionsreferens</x:v>
      </x:c>
      <x:c r="I24" s="19" t="str">
        <x:v>Ingen påhittad normal affärseffekt.</x:v>
      </x:c>
      <x:c r="J24" s="19" t="str">
        <x:v>Kunna känna igen och diagnostisera där lämpligt; ny roll och komplett källa krävs för eventuell framtida aktivering.</x:v>
      </x:c>
      <x:c r="K24" s="19" t="str">
        <x:v>Ej produktionsaktiverad</x:v>
      </x:c>
      <x:c r="L24" s="19" t="str">
        <x:v>U §3.1,3.7; T §5</x:v>
      </x:c>
    </x:row>
    <x:row r="25" ht="50.400001525878906" customHeight="1">
      <x:c r="A25" s="19" t="str">
        <x:v>UCASE-S08-SUPPLIER/ESCO-disabled</x:v>
      </x:c>
      <x:c r="B25" s="19" t="str">
        <x:v>S08</x:v>
      </x:c>
      <x:c r="C25" s="19" t="str">
        <x:v>SUPPLIER/ESCO</x:v>
      </x:c>
      <x:c r="D25" s="19" t="str">
        <x:v>disabled</x:v>
      </x:c>
      <x:c r="E25" s="19" t="str">
        <x:v>Ej vår standardroll</x:v>
      </x:c>
      <x:c r="F25" s="19" t="str">
        <x:v>Ej vår standardroll</x:v>
      </x:c>
      <x:c r="G25" s="19" t="str">
        <x:v>Upphörde att användas efter 14 april 2026.</x:v>
      </x:c>
      <x:c r="H25" s="19" t="str">
        <x:v>Ingen genererad produktionsreferens</x:v>
      </x:c>
      <x:c r="I25" s="19" t="str">
        <x:v>Ingen påhittad normal affärseffekt.</x:v>
      </x:c>
      <x:c r="J25" s="19" t="str">
        <x:v>Kunna känna igen och diagnostisera där lämpligt; ny roll och komplett källa krävs för eventuell framtida aktivering.</x:v>
      </x:c>
      <x:c r="K25" s="19" t="str">
        <x:v>Ej produktionsaktiverad</x:v>
      </x:c>
      <x:c r="L25" s="19" t="str">
        <x:v>U §3.1,3.7; T §5</x:v>
      </x:c>
    </x:row>
    <x:row r="26" ht="50.400001525878906" customHeight="1">
      <x:c r="A26" s="19" t="str">
        <x:v>UCASE-E70-SUPPLIER/ESCO-disabled</x:v>
      </x:c>
      <x:c r="B26" s="19" t="str">
        <x:v>E70</x:v>
      </x:c>
      <x:c r="C26" s="19" t="str">
        <x:v>SUPPLIER/ESCO</x:v>
      </x:c>
      <x:c r="D26" s="19" t="str">
        <x:v>disabled</x:v>
      </x:c>
      <x:c r="E26" s="19" t="str">
        <x:v>Ej vår standardroll</x:v>
      </x:c>
      <x:c r="F26" s="19" t="str">
        <x:v>Ej vår standardroll</x:v>
      </x:c>
      <x:c r="G26" s="19" t="str">
        <x:v>Framtida förslag i dokumentet; inte produktionsmeddelande i denna omfattning.</x:v>
      </x:c>
      <x:c r="H26" s="19" t="str">
        <x:v>Ingen genererad produktionsreferens</x:v>
      </x:c>
      <x:c r="I26" s="19" t="str">
        <x:v>Ingen påhittad normal affärseffekt.</x:v>
      </x:c>
      <x:c r="J26" s="19" t="str">
        <x:v>Kunna känna igen och diagnostisera där lämpligt; ny roll och komplett källa krävs för eventuell framtida aktivering.</x:v>
      </x:c>
      <x:c r="K26" s="19" t="str">
        <x:v>Ej produktionsaktiverad</x:v>
      </x:c>
      <x:c r="L26" s="19" t="str">
        <x:v>U §3.1,3.7; T §5</x:v>
      </x:c>
    </x:row>
  </x:sheetData>
  <x:mergeCells>
    <x:mergeCell ref="A1:L1"/>
    <x:mergeCell ref="A2:L2"/>
  </x:mergeCells>
  <x:pageMargins left="0.7" right="0.7" top="0.75" bottom="0.75" header="0.3" footer="0.3"/>
  <x:tableParts count="1">
    <x:tablePart xmlns:r="http://schemas.openxmlformats.org/officeDocument/2006/relationships" r:id="R9c52b6ebe6e14b10"/>
  </x:tableParts>
</x:worksheet>
</file>

<file path=xl/worksheets/sheet8.xml><?xml version="1.0" encoding="utf-8"?>
<x:worksheet xmlns:x="http://schemas.openxmlformats.org/spreadsheetml/2006/main">
  <x:sheetFormatPr defaultRowHeight="15"/>
  <x:cols>
    <x:col min="1" max="1" width="33" hidden="0" customWidth="1"/>
    <x:col min="2" max="2" width="13" hidden="0" customWidth="1"/>
    <x:col min="3" max="3" width="21" hidden="0" customWidth="1"/>
    <x:col min="4" max="4" width="34" hidden="0" customWidth="1"/>
    <x:col min="5" max="5" width="44" hidden="0" customWidth="1"/>
    <x:col min="6" max="6" width="65" hidden="0" customWidth="1"/>
    <x:col min="7" max="7" width="44" hidden="0" customWidth="1"/>
    <x:col min="8" max="8" width="28" hidden="0" customWidth="1"/>
    <x:col min="9" max="9" width="12" hidden="0" customWidth="1"/>
    <x:col min="10" max="10" width="18" hidden="0" customWidth="1"/>
    <x:col min="11" max="11" width="42" hidden="0" customWidth="1"/>
  </x:cols>
  <x:sheetData>
    <x:row r="1" ht="30" customHeight="1">
      <x:c r="A1" s="3" t="str">
        <x:v>UTILTS-fält · Gridex Ediel v2</x:v>
      </x:c>
      <x:c r="B1" s="3"/>
      <x:c r="C1" s="3"/>
      <x:c r="D1" s="3"/>
      <x:c r="E1" s="3"/>
      <x:c r="F1" s="3"/>
      <x:c r="G1" s="3"/>
      <x:c r="H1" s="3"/>
      <x:c r="I1" s="3"/>
      <x:c r="J1" s="3"/>
      <x:c r="K1" s="3"/>
    </x:row>
    <x:row r="2" ht="34" customHeight="1">
      <x:c r="A2" s="8" t="str">
        <x:v>152 kontextberoende rader från oktoberanvisningens kapitel 3.7. Upprepade fältnummer är avsiktliga.</x:v>
      </x:c>
      <x:c r="B2" s="8"/>
      <x:c r="C2" s="8"/>
      <x:c r="D2" s="8"/>
      <x:c r="E2" s="8"/>
      <x:c r="F2" s="8"/>
      <x:c r="G2" s="8"/>
      <x:c r="H2" s="8"/>
      <x:c r="I2" s="8"/>
      <x:c r="J2" s="8"/>
      <x:c r="K2" s="8"/>
    </x:row>
    <x:row r="4" ht="37" customHeight="1">
      <x:c r="A4" s="14" t="str">
        <x:v>Rad-id</x:v>
      </x:c>
      <x:c r="B4" s="14" t="str">
        <x:v>Fält</x:v>
      </x:c>
      <x:c r="C4" s="14" t="str">
        <x:v>Profilkontext</x:v>
      </x:c>
      <x:c r="D4" s="14" t="str">
        <x:v>Namn</x:v>
      </x:c>
      <x:c r="E4" s="14" t="str">
        <x:v>Meddelandeanvändning</x:v>
      </x:c>
      <x:c r="F4" s="14" t="str">
        <x:v>Villkor</x:v>
      </x:c>
      <x:c r="G4" s="14" t="str">
        <x:v>Locator enligt källa</x:v>
      </x:c>
      <x:c r="H4" s="14" t="str">
        <x:v>Källa</x:v>
      </x:c>
      <x:c r="I4" s="14" t="str">
        <x:v>Sida</x:v>
      </x:c>
      <x:c r="J4" s="14" t="str">
        <x:v>Gäller från</x:v>
      </x:c>
      <x:c r="K4" s="14" t="str">
        <x:v>Verifieringsstatus</x:v>
      </x:c>
    </x:row>
    <x:row r="5" ht="36.599998474121094" customHeight="1">
      <x:c r="A5" s="19" t="str">
        <x:v>UF-planning-311-50</x:v>
      </x:c>
      <x:c r="B5" s="19" t="str">
        <x:v>311</x:v>
      </x:c>
      <x:c r="C5" s="19" t="str">
        <x:v>planning</x:v>
      </x:c>
      <x:c r="D5" s="19" t="str">
        <x:v>Application Reference</x:v>
      </x:c>
      <x:c r="E5" s="19" t="str">
        <x:v>S02: R; S03: R; S04: R</x:v>
      </x:c>
      <x:c r="F5" s="19" t="str">
        <x:v>För S02: ska vara 23-DDQ-S02-S För S03: 23-DDQ-S03-S, 23-DDK-S03-S eller 23-DDX- S03-S För S04: 23-DDK-S04-S.</x:v>
      </x:c>
      <x:c r="G5" s="19" t="str">
        <x:v>UNB/0026</x:v>
      </x:c>
      <x:c r="H5" s="19" t="str">
        <x:v>U §3.7</x:v>
      </x:c>
      <x:c r="I5" s="19" t="str">
        <x:v>50</x:v>
      </x:c>
      <x:c r="J5" s="19" t="str">
        <x:v>2026-10-01</x:v>
      </x:c>
      <x:c r="K5" s="19" t="str">
        <x:v>Källtabell avläst; ej runtimeverifierad</x:v>
      </x:c>
    </x:row>
    <x:row r="6" ht="32" customHeight="1">
      <x:c r="A6" s="19" t="str">
        <x:v>UF-planning-312-50</x:v>
      </x:c>
      <x:c r="B6" s="19" t="str">
        <x:v>312</x:v>
      </x:c>
      <x:c r="C6" s="19" t="str">
        <x:v>planning</x:v>
      </x:c>
      <x:c r="D6" s="19" t="str">
        <x:v>Version</x:v>
      </x:c>
      <x:c r="E6" s="19" t="str">
        <x:v>S02: R; S03: R; S04: R</x:v>
      </x:c>
      <x:c r="F6" s="19" t="str">
        <x:v>Aktuell version av Ediel-meddelandet.</x:v>
      </x:c>
      <x:c r="G6" s="19" t="str">
        <x:v>UNH/S009/0057</x:v>
      </x:c>
      <x:c r="H6" s="19" t="str">
        <x:v>U §3.7</x:v>
      </x:c>
      <x:c r="I6" s="19" t="str">
        <x:v>50</x:v>
      </x:c>
      <x:c r="J6" s="19" t="str">
        <x:v>2026-10-01</x:v>
      </x:c>
      <x:c r="K6" s="19" t="str">
        <x:v>Källtabell avläst; ej runtimeverifierad</x:v>
      </x:c>
    </x:row>
    <x:row r="7" ht="32" customHeight="1">
      <x:c r="A7" s="19" t="str">
        <x:v>UF-planning-202-50</x:v>
      </x:c>
      <x:c r="B7" s="19" t="str">
        <x:v>202</x:v>
      </x:c>
      <x:c r="C7" s="19" t="str">
        <x:v>planning</x:v>
      </x:c>
      <x:c r="D7" s="19" t="str">
        <x:v>Dokumentnamn, kod</x:v>
      </x:c>
      <x:c r="E7" s="19" t="str">
        <x:v>S02: R; S03: R; S04: R</x:v>
      </x:c>
      <x:c r="F7" s="19" t="str">
        <x:v>UTILTS-meddelandetyp: S02, S03, S04</x:v>
      </x:c>
      <x:c r="G7" s="19" t="str">
        <x:v>BGM/C002/1001</x:v>
      </x:c>
      <x:c r="H7" s="19" t="str">
        <x:v>U §3.7</x:v>
      </x:c>
      <x:c r="I7" s="19" t="str">
        <x:v>50</x:v>
      </x:c>
      <x:c r="J7" s="19" t="str">
        <x:v>2026-10-01</x:v>
      </x:c>
      <x:c r="K7" s="19" t="str">
        <x:v>Källtabell avläst; ej runtimeverifierad</x:v>
      </x:c>
    </x:row>
    <x:row r="8" ht="32" customHeight="1">
      <x:c r="A8" s="19" t="str">
        <x:v>UF-planning-203-50</x:v>
      </x:c>
      <x:c r="B8" s="19" t="str">
        <x:v>203</x:v>
      </x:c>
      <x:c r="C8" s="19" t="str">
        <x:v>planning</x:v>
      </x:c>
      <x:c r="D8" s="19" t="str">
        <x:v>Dokument id</x:v>
      </x:c>
      <x:c r="E8" s="19" t="str">
        <x:v>S02: R; S03: R; S04: R</x:v>
      </x:c>
      <x:c r="F8" s="19" t="str">
        <x:v>Unik identitet på hela UTILTS-medd.</x:v>
      </x:c>
      <x:c r="G8" s="19" t="str">
        <x:v>BGM/C106/1004</x:v>
      </x:c>
      <x:c r="H8" s="19" t="str">
        <x:v>U §3.7</x:v>
      </x:c>
      <x:c r="I8" s="19" t="str">
        <x:v>50</x:v>
      </x:c>
      <x:c r="J8" s="19" t="str">
        <x:v>2026-10-01</x:v>
      </x:c>
      <x:c r="K8" s="19" t="str">
        <x:v>Källtabell avläst; ej runtimeverifierad</x:v>
      </x:c>
    </x:row>
    <x:row r="9" ht="32" customHeight="1">
      <x:c r="A9" s="19" t="str">
        <x:v>UF-planning-204-50</x:v>
      </x:c>
      <x:c r="B9" s="19" t="str">
        <x:v>204</x:v>
      </x:c>
      <x:c r="C9" s="19" t="str">
        <x:v>planning</x:v>
      </x:c>
      <x:c r="D9" s="19" t="str">
        <x:v>Meddelandefunktion</x:v>
      </x:c>
      <x:c r="E9" s="19" t="str">
        <x:v>S02: R; S03: R; S04: R</x:v>
      </x:c>
      <x:c r="F9" s="19" t="str">
        <x:v>Funktion, se kod i BGM</x:v>
      </x:c>
      <x:c r="G9" s="19" t="str">
        <x:v>BGM/1225</x:v>
      </x:c>
      <x:c r="H9" s="19" t="str">
        <x:v>U §3.7</x:v>
      </x:c>
      <x:c r="I9" s="19" t="str">
        <x:v>50</x:v>
      </x:c>
      <x:c r="J9" s="19" t="str">
        <x:v>2026-10-01</x:v>
      </x:c>
      <x:c r="K9" s="19" t="str">
        <x:v>Källtabell avläst; ej runtimeverifierad</x:v>
      </x:c>
    </x:row>
    <x:row r="10" ht="32" customHeight="1">
      <x:c r="A10" s="19" t="str">
        <x:v>UF-planning-313-50</x:v>
      </x:c>
      <x:c r="B10" s="19" t="str">
        <x:v>313</x:v>
      </x:c>
      <x:c r="C10" s="19" t="str">
        <x:v>planning</x:v>
      </x:c>
      <x:c r="D10" s="19" t="str">
        <x:v>Kvittensbegäran</x:v>
      </x:c>
      <x:c r="E10" s="19" t="str">
        <x:v>S02: R; S03: R; S04: R</x:v>
      </x:c>
      <x:c r="F10" s="19" t="str">
        <x:v>Begäran om APERAK</x:v>
      </x:c>
      <x:c r="G10" s="19" t="str">
        <x:v>BGM/4343</x:v>
      </x:c>
      <x:c r="H10" s="19" t="str">
        <x:v>U §3.7</x:v>
      </x:c>
      <x:c r="I10" s="19" t="str">
        <x:v>50</x:v>
      </x:c>
      <x:c r="J10" s="19" t="str">
        <x:v>2026-10-01</x:v>
      </x:c>
      <x:c r="K10" s="19" t="str">
        <x:v>Källtabell avläst; ej runtimeverifierad</x:v>
      </x:c>
    </x:row>
    <x:row r="11" ht="32" customHeight="1">
      <x:c r="A11" s="19" t="str">
        <x:v>UF-planning-205-50</x:v>
      </x:c>
      <x:c r="B11" s="19" t="str">
        <x:v>205</x:v>
      </x:c>
      <x:c r="C11" s="19" t="str">
        <x:v>planning</x:v>
      </x:c>
      <x:c r="D11" s="19" t="str">
        <x:v>Meddelandedatum</x:v>
      </x:c>
      <x:c r="E11" s="19" t="str">
        <x:v>S02: R; S03: R; S04: R</x:v>
      </x:c>
      <x:c r="F11" s="19" t="str">
        <x:v>Datum då UTILTS-medd skapas i applikationen, format enligt DTM</x:v>
      </x:c>
      <x:c r="G11" s="19" t="str">
        <x:v>DTM+137/C507/2380</x:v>
      </x:c>
      <x:c r="H11" s="19" t="str">
        <x:v>U §3.7</x:v>
      </x:c>
      <x:c r="I11" s="19" t="str">
        <x:v>50</x:v>
      </x:c>
      <x:c r="J11" s="19" t="str">
        <x:v>2026-10-01</x:v>
      </x:c>
      <x:c r="K11" s="19" t="str">
        <x:v>Källtabell avläst; ej runtimeverifierad</x:v>
      </x:c>
    </x:row>
    <x:row r="12" ht="32" customHeight="1">
      <x:c r="A12" s="19" t="str">
        <x:v>UF-planning-206-50</x:v>
      </x:c>
      <x:c r="B12" s="19" t="str">
        <x:v>206</x:v>
      </x:c>
      <x:c r="C12" s="19" t="str">
        <x:v>planning</x:v>
      </x:c>
      <x:c r="D12" s="19" t="str">
        <x:v>Tidzon</x:v>
      </x:c>
      <x:c r="E12" s="19" t="str">
        <x:v>S02: R; S03: R; S04: R</x:v>
      </x:c>
      <x:c r="F12" s="19" t="str">
        <x:v>Tidzon anges som "offset" till UTC.</x:v>
      </x:c>
      <x:c r="G12" s="19" t="str">
        <x:v>DTM+735/C507/2380</x:v>
      </x:c>
      <x:c r="H12" s="19" t="str">
        <x:v>U §3.7</x:v>
      </x:c>
      <x:c r="I12" s="19" t="str">
        <x:v>50</x:v>
      </x:c>
      <x:c r="J12" s="19" t="str">
        <x:v>2026-10-01</x:v>
      </x:c>
      <x:c r="K12" s="19" t="str">
        <x:v>Källtabell avläst; ej runtimeverifierad</x:v>
      </x:c>
    </x:row>
    <x:row r="13" ht="32" customHeight="1">
      <x:c r="A13" s="19" t="str">
        <x:v>UF-planning-501-51</x:v>
      </x:c>
      <x:c r="B13" s="19" t="str">
        <x:v>501</x:v>
      </x:c>
      <x:c r="C13" s="19" t="str">
        <x:v>planning</x:v>
      </x:c>
      <x:c r="D13" s="19" t="str">
        <x:v>Marknad</x:v>
      </x:c>
      <x:c r="E13" s="19" t="str">
        <x:v>S02: R; S03: R; S04: R</x:v>
      </x:c>
      <x:c r="F13" s="19" t="str">
        <x:v>El eller gas, se kod i MKS</x:v>
      </x:c>
      <x:c r="G13" s="19" t="str">
        <x:v>MKS/7293</x:v>
      </x:c>
      <x:c r="H13" s="19" t="str">
        <x:v>U §3.7</x:v>
      </x:c>
      <x:c r="I13" s="19" t="str">
        <x:v>51</x:v>
      </x:c>
      <x:c r="J13" s="19" t="str">
        <x:v>2026-10-01</x:v>
      </x:c>
      <x:c r="K13" s="19" t="str">
        <x:v>Källtabell avläst; ej runtimeverifierad</x:v>
      </x:c>
    </x:row>
    <x:row r="14" ht="32" customHeight="1">
      <x:c r="A14" s="19" t="str">
        <x:v>UF-planning-502-51</x:v>
      </x:c>
      <x:c r="B14" s="19" t="str">
        <x:v>502</x:v>
      </x:c>
      <x:c r="C14" s="19" t="str">
        <x:v>planning</x:v>
      </x:c>
      <x:c r="D14" s="19" t="str">
        <x:v>Skede</x:v>
      </x:c>
      <x:c r="E14" s="19" t="str">
        <x:v>S02: R; S03: R; S04: R</x:v>
      </x:c>
      <x:c r="F14" s="19" t="str">
        <x:v>Aktuellt skede = planning, se kod i MKS</x:v>
      </x:c>
      <x:c r="G14" s="19" t="str">
        <x:v>MKS/C332/3496</x:v>
      </x:c>
      <x:c r="H14" s="19" t="str">
        <x:v>U §3.7</x:v>
      </x:c>
      <x:c r="I14" s="19" t="str">
        <x:v>51</x:v>
      </x:c>
      <x:c r="J14" s="19" t="str">
        <x:v>2026-10-01</x:v>
      </x:c>
      <x:c r="K14" s="19" t="str">
        <x:v>Källtabell avläst; ej runtimeverifierad</x:v>
      </x:c>
    </x:row>
    <x:row r="15" ht="32" customHeight="1">
      <x:c r="A15" s="19" t="str">
        <x:v>UF-planning-207-51</x:v>
      </x:c>
      <x:c r="B15" s="19" t="str">
        <x:v>207</x:v>
      </x:c>
      <x:c r="C15" s="19" t="str">
        <x:v>planning</x:v>
      </x:c>
      <x:c r="D15" s="19" t="str">
        <x:v>Avsändare</x:v>
      </x:c>
      <x:c r="E15" s="19" t="str">
        <x:v>S02: R; S03: R; S04: R</x:v>
      </x:c>
      <x:c r="F15" s="19" t="str">
        <x:v>Juridisk avsändare, Ediel-id</x:v>
      </x:c>
      <x:c r="G15" s="19" t="str">
        <x:v>SG2/NAD+MS/C082/3039</x:v>
      </x:c>
      <x:c r="H15" s="19" t="str">
        <x:v>U §3.7</x:v>
      </x:c>
      <x:c r="I15" s="19" t="str">
        <x:v>51</x:v>
      </x:c>
      <x:c r="J15" s="19" t="str">
        <x:v>2026-10-01</x:v>
      </x:c>
      <x:c r="K15" s="19" t="str">
        <x:v>Källtabell avläst; ej runtimeverifierad</x:v>
      </x:c>
    </x:row>
    <x:row r="16" ht="32" customHeight="1">
      <x:c r="A16" s="19" t="str">
        <x:v>UF-planning-208-51</x:v>
      </x:c>
      <x:c r="B16" s="19" t="str">
        <x:v>208</x:v>
      </x:c>
      <x:c r="C16" s="19" t="str">
        <x:v>planning</x:v>
      </x:c>
      <x:c r="D16" s="19" t="str">
        <x:v>Mottagare</x:v>
      </x:c>
      <x:c r="E16" s="19" t="str">
        <x:v>S02: R; S03: R; S04: R</x:v>
      </x:c>
      <x:c r="F16" s="19" t="str">
        <x:v>Juridisk mottagare, Ediel-id</x:v>
      </x:c>
      <x:c r="G16" s="19" t="str">
        <x:v>SG2/NAD+MR/C082/303 9</x:v>
      </x:c>
      <x:c r="H16" s="19" t="str">
        <x:v>U §3.7</x:v>
      </x:c>
      <x:c r="I16" s="19" t="str">
        <x:v>51</x:v>
      </x:c>
      <x:c r="J16" s="19" t="str">
        <x:v>2026-10-01</x:v>
      </x:c>
      <x:c r="K16" s="19" t="str">
        <x:v>Källtabell avläst; ej runtimeverifierad</x:v>
      </x:c>
    </x:row>
    <x:row r="17" ht="36.599998474121094" customHeight="1">
      <x:c r="A17" s="19" t="str">
        <x:v>UF-planning-509-51</x:v>
      </x:c>
      <x:c r="B17" s="19" t="str">
        <x:v>509</x:v>
      </x:c>
      <x:c r="C17" s="19" t="str">
        <x:v>planning</x:v>
      </x:c>
      <x:c r="D17" s="19" t="str">
        <x:v>Underordnad roll</x:v>
      </x:c>
      <x:c r="E17" s="19" t="str">
        <x:v>S02: R; S03: R; S04: R</x:v>
      </x:c>
      <x:c r="F17" s="19" t="str">
        <x:v>Kod för den part som ej är ansvarig för meddelandet, i dessa fall mottagarens roll, t ex systemansvarig, balansansvarig osv</x:v>
      </x:c>
      <x:c r="G17" s="19" t="str">
        <x:v>SG2/NAD+rollkod</x:v>
      </x:c>
      <x:c r="H17" s="19" t="str">
        <x:v>U §3.7</x:v>
      </x:c>
      <x:c r="I17" s="19" t="str">
        <x:v>51</x:v>
      </x:c>
      <x:c r="J17" s="19" t="str">
        <x:v>2026-10-01</x:v>
      </x:c>
      <x:c r="K17" s="19" t="str">
        <x:v>Källtabell avläst; ej runtimeverifierad</x:v>
      </x:c>
    </x:row>
    <x:row r="18" ht="36.599998474121094" customHeight="1">
      <x:c r="A18" s="19" t="str">
        <x:v>UF-planning-505-51</x:v>
      </x:c>
      <x:c r="B18" s="19" t="str">
        <x:v>505</x:v>
      </x:c>
      <x:c r="C18" s="19" t="str">
        <x:v>planning</x:v>
      </x:c>
      <x:c r="D18" s="19" t="str">
        <x:v>Transaktionsnr</x:v>
      </x:c>
      <x:c r="E18" s="19" t="str">
        <x:v>S02: R; S03: R; S04: R</x:v>
      </x:c>
      <x:c r="F18" s="19" t="str">
        <x:v>Avsändarens unika id på transaktionen. Används för att kunna referera till en specifik transaktion.</x:v>
      </x:c>
      <x:c r="G18" s="19" t="str">
        <x:v>SG5/IDE+24/C206/7402</x:v>
      </x:c>
      <x:c r="H18" s="19" t="str">
        <x:v>U §3.7</x:v>
      </x:c>
      <x:c r="I18" s="19" t="str">
        <x:v>51</x:v>
      </x:c>
      <x:c r="J18" s="19" t="str">
        <x:v>2026-10-01</x:v>
      </x:c>
      <x:c r="K18" s="19" t="str">
        <x:v>Källtabell avläst; ej runtimeverifierad</x:v>
      </x:c>
    </x:row>
    <x:row r="19" ht="32" customHeight="1">
      <x:c r="A19" s="19" t="str">
        <x:v>UF-planning-209-51</x:v>
      </x:c>
      <x:c r="B19" s="19" t="str">
        <x:v>209</x:v>
      </x:c>
      <x:c r="C19" s="19" t="str">
        <x:v>planning</x:v>
      </x:c>
      <x:c r="D19" s="19" t="str">
        <x:v>Anläggningsid</x:v>
      </x:c>
      <x:c r="E19" s="19" t="str">
        <x:v>S02: R; S03: -; S04: -</x:v>
      </x:c>
      <x:c r="F19" s="19" t="str">
        <x:v>Anläggningsid, normalt GS1-nr</x:v>
      </x:c>
      <x:c r="G19" s="19" t="str">
        <x:v>SG5/LOC+172/C517/3225</x:v>
      </x:c>
      <x:c r="H19" s="19" t="str">
        <x:v>U §3.7</x:v>
      </x:c>
      <x:c r="I19" s="19" t="str">
        <x:v>51</x:v>
      </x:c>
      <x:c r="J19" s="19" t="str">
        <x:v>2026-10-01</x:v>
      </x:c>
      <x:c r="K19" s="19" t="str">
        <x:v>Källtabell avläst; ej runtimeverifierad</x:v>
      </x:c>
    </x:row>
    <x:row r="20" ht="64.19999694824219" customHeight="1">
      <x:c r="A20" s="19" t="str">
        <x:v>UF-planning-260a-51</x:v>
      </x:c>
      <x:c r="B20" s="19" t="str">
        <x:v>260a</x:v>
      </x:c>
      <x:c r="C20" s="19" t="str">
        <x:v>planning</x:v>
      </x:c>
      <x:c r="D20" s="19" t="str">
        <x:v>Nätområdesid</x:v>
      </x:c>
      <x:c r="E20" s="19" t="str">
        <x:v>S02: R; S03: R; S04: R (se not)</x:v>
      </x:c>
      <x:c r="F20" s="19" t="str">
        <x:v>Nätområdesid S04: Om/när det blir aktuellt att skicka aggregerade värden med annat än andelstal kan fältet bli villkorat av vad som skickas (tidsserieprodukten), alternativt används en ny meddelandetyp.</x:v>
      </x:c>
      <x:c r="G20" s="19" t="str">
        <x:v>SG5/LOC+239/C517/3225</x:v>
      </x:c>
      <x:c r="H20" s="19" t="str">
        <x:v>U §3.7</x:v>
      </x:c>
      <x:c r="I20" s="19" t="str">
        <x:v>51</x:v>
      </x:c>
      <x:c r="J20" s="19" t="str">
        <x:v>2026-10-01</x:v>
      </x:c>
      <x:c r="K20" s="19" t="str">
        <x:v>Källtabell avläst; ej runtimeverifierad</x:v>
      </x:c>
    </x:row>
    <x:row r="21" ht="36.599998474121094" customHeight="1">
      <x:c r="A21" s="19" t="str">
        <x:v>UF-planning-262-51</x:v>
      </x:c>
      <x:c r="B21" s="19" t="str">
        <x:v>262</x:v>
      </x:c>
      <x:c r="C21" s="19" t="str">
        <x:v>planning</x:v>
      </x:c>
      <x:c r="D21" s="19" t="str">
        <x:v>Balansansvarig</x:v>
      </x:c>
      <x:c r="E21" s="19" t="str">
        <x:v>S02: -; S03: D; S04: D</x:v>
      </x:c>
      <x:c r="F21" s="19" t="str">
        <x:v>Balansansvarig: Villkor om detta fält ska skickas eller inte är beroende på vilken tidsserieprodukt (OT) som är aktuell.</x:v>
      </x:c>
      <x:c r="G21" s="19" t="str">
        <x:v>SG5/NAD+DDK//C082/30 39</x:v>
      </x:c>
      <x:c r="H21" s="19" t="str">
        <x:v>U §3.7</x:v>
      </x:c>
      <x:c r="I21" s="19" t="str">
        <x:v>51</x:v>
      </x:c>
      <x:c r="J21" s="19" t="str">
        <x:v>2026-10-01</x:v>
      </x:c>
      <x:c r="K21" s="19" t="str">
        <x:v>Källtabell avläst; ej runtimeverifierad</x:v>
      </x:c>
    </x:row>
    <x:row r="22" ht="36.599998474121094" customHeight="1">
      <x:c r="A22" s="19" t="str">
        <x:v>UF-planning-510-51</x:v>
      </x:c>
      <x:c r="B22" s="19" t="str">
        <x:v>510</x:v>
      </x:c>
      <x:c r="C22" s="19" t="str">
        <x:v>planning</x:v>
      </x:c>
      <x:c r="D22" s="19" t="str">
        <x:v>Leverantör</x:v>
      </x:c>
      <x:c r="E22" s="19" t="str">
        <x:v>S02: -; S03: D; S04: -</x:v>
      </x:c>
      <x:c r="F22" s="19" t="str">
        <x:v>Leverantör: Villkor om detta fält ska skickas eller inte är beroende på vilken tidsserieprodukt (OT) som är aktuell.</x:v>
      </x:c>
      <x:c r="G22" s="19" t="str">
        <x:v>SG5/NAD+DDQ//C082/30 39</x:v>
      </x:c>
      <x:c r="H22" s="19" t="str">
        <x:v>U §3.7</x:v>
      </x:c>
      <x:c r="I22" s="19" t="str">
        <x:v>51</x:v>
      </x:c>
      <x:c r="J22" s="19" t="str">
        <x:v>2026-10-01</x:v>
      </x:c>
      <x:c r="K22" s="19" t="str">
        <x:v>Källtabell avläst; ej runtimeverifierad</x:v>
      </x:c>
    </x:row>
    <x:row r="23" ht="32" customHeight="1">
      <x:c r="A23" s="19" t="str">
        <x:v>UF-planning-506-51</x:v>
      </x:c>
      <x:c r="B23" s="19" t="str">
        <x:v>506</x:v>
      </x:c>
      <x:c r="C23" s="19" t="str">
        <x:v>planning</x:v>
      </x:c>
      <x:c r="D23" s="19" t="str">
        <x:v>Produkt id</x:v>
      </x:c>
      <x:c r="E23" s="19" t="str">
        <x:v>S02: R; S03: R; S04: R</x:v>
      </x:c>
      <x:c r="F23" s="19" t="str">
        <x:v>Generell produktkod, se koder i LIN</x:v>
      </x:c>
      <x:c r="G23" s="19" t="str">
        <x:v>SG5/LIN/C212/7140</x:v>
      </x:c>
      <x:c r="H23" s="19" t="str">
        <x:v>U §3.7</x:v>
      </x:c>
      <x:c r="I23" s="19" t="str">
        <x:v>51</x:v>
      </x:c>
      <x:c r="J23" s="19" t="str">
        <x:v>2026-10-01</x:v>
      </x:c>
      <x:c r="K23" s="19" t="str">
        <x:v>Källtabell avläst; ej runtimeverifierad</x:v>
      </x:c>
    </x:row>
    <x:row r="24" ht="36.599998474121094" customHeight="1">
      <x:c r="A24" s="19" t="str">
        <x:v>UF-planning-511-51</x:v>
      </x:c>
      <x:c r="B24" s="19" t="str">
        <x:v>511</x:v>
      </x:c>
      <x:c r="C24" s="19" t="str">
        <x:v>planning</x:v>
      </x:c>
      <x:c r="D24" s="19" t="str">
        <x:v>Tidsserieprodukt</x:v>
      </x:c>
      <x:c r="E24" s="19" t="str">
        <x:v>S02: -; S03: R; S04: R</x:v>
      </x:c>
      <x:c r="F24" s="19" t="str">
        <x:v>Tidsserieprodukt Fem koder anges i enlighet med Svenska kraftnäts kodlista, fält 511a, 511b, 511c, 511d och 511e.</x:v>
      </x:c>
      <x:c r="G24" s="19" t="str">
        <x:v>SG5/PIA+1/C212/7140 (x5)</x:v>
      </x:c>
      <x:c r="H24" s="19" t="str">
        <x:v>U §3.7</x:v>
      </x:c>
      <x:c r="I24" s="19" t="str">
        <x:v>51</x:v>
      </x:c>
      <x:c r="J24" s="19" t="str">
        <x:v>2026-10-01</x:v>
      </x:c>
      <x:c r="K24" s="19" t="str">
        <x:v>Källtabell avläst; ej runtimeverifierad</x:v>
      </x:c>
    </x:row>
    <x:row r="25" ht="32" customHeight="1">
      <x:c r="A25" s="19" t="str">
        <x:v>UF-planning-245-51</x:v>
      </x:c>
      <x:c r="B25" s="19" t="str">
        <x:v>245</x:v>
      </x:c>
      <x:c r="C25" s="19" t="str">
        <x:v>planning</x:v>
      </x:c>
      <x:c r="D25" s="19" t="str">
        <x:v>Leveransperiod</x:v>
      </x:c>
      <x:c r="E25" s="19" t="str">
        <x:v>S02: R; S03: R; S04: R</x:v>
      </x:c>
      <x:c r="F25" s="19" t="str">
        <x:v>Aktuell period för transaktionen</x:v>
      </x:c>
      <x:c r="G25" s="19" t="str">
        <x:v>SG5/DTM+324/C507/238 0</x:v>
      </x:c>
      <x:c r="H25" s="19" t="str">
        <x:v>U §3.7</x:v>
      </x:c>
      <x:c r="I25" s="19" t="str">
        <x:v>51</x:v>
      </x:c>
      <x:c r="J25" s="19" t="str">
        <x:v>2026-10-01</x:v>
      </x:c>
      <x:c r="K25" s="19" t="str">
        <x:v>Källtabell avläst; ej runtimeverifierad</x:v>
      </x:c>
    </x:row>
    <x:row r="26" ht="32" customHeight="1">
      <x:c r="A26" s="19" t="str">
        <x:v>UF-planning-532-51</x:v>
      </x:c>
      <x:c r="B26" s="19" t="str">
        <x:v>532</x:v>
      </x:c>
      <x:c r="C26" s="19" t="str">
        <x:v>planning</x:v>
      </x:c>
      <x:c r="D26" s="19" t="str">
        <x:v>Senaste uppdaterings- tidpunkt</x:v>
      </x:c>
      <x:c r="E26" s="19" t="str">
        <x:v>S02: R; S03: R; S04: R</x:v>
      </x:c>
      <x:c r="F26" s="19" t="str">
        <x:v>Senaste uppdateringstidpunkt</x:v>
      </x:c>
      <x:c r="G26" s="19" t="str">
        <x:v>SG5/DTM+368/C507/238 0</x:v>
      </x:c>
      <x:c r="H26" s="19" t="str">
        <x:v>U §3.7</x:v>
      </x:c>
      <x:c r="I26" s="19" t="str">
        <x:v>51</x:v>
      </x:c>
      <x:c r="J26" s="19" t="str">
        <x:v>2026-10-01</x:v>
      </x:c>
      <x:c r="K26" s="19" t="str">
        <x:v>Källtabell avläst; ej runtimeverifierad</x:v>
      </x:c>
    </x:row>
    <x:row r="27" ht="36.599998474121094" customHeight="1">
      <x:c r="A27" s="19" t="str">
        <x:v>UF-planning-508-51</x:v>
      </x:c>
      <x:c r="B27" s="19" t="str">
        <x:v>508</x:v>
      </x:c>
      <x:c r="C27" s="19" t="str">
        <x:v>planning</x:v>
      </x:c>
      <x:c r="D27" s="19" t="str">
        <x:v>Upplösning</x:v>
      </x:c>
      <x:c r="E27" s="19" t="str">
        <x:v>S02: R; S03: R; S04: R</x:v>
      </x:c>
      <x:c r="F27" s="19" t="str">
        <x:v>Upplösning för hela transaktionen, t ex månad, format enligt DTM</x:v>
      </x:c>
      <x:c r="G27" s="19" t="str">
        <x:v>SG5/DTM+354/C507/238 0</x:v>
      </x:c>
      <x:c r="H27" s="19" t="str">
        <x:v>U §3.7</x:v>
      </x:c>
      <x:c r="I27" s="19" t="str">
        <x:v>51</x:v>
      </x:c>
      <x:c r="J27" s="19" t="str">
        <x:v>2026-10-01</x:v>
      </x:c>
      <x:c r="K27" s="19" t="str">
        <x:v>Källtabell avläst; ej runtimeverifierad</x:v>
      </x:c>
    </x:row>
    <x:row r="28" ht="32" customHeight="1">
      <x:c r="A28" s="19" t="str">
        <x:v>UF-planning-223-52</x:v>
      </x:c>
      <x:c r="B28" s="19" t="str">
        <x:v>223</x:v>
      </x:c>
      <x:c r="C28" s="19" t="str">
        <x:v>planning</x:v>
      </x:c>
      <x:c r="D28" s="19" t="str">
        <x:v>Anledning till transaktionen</x:v>
      </x:c>
      <x:c r="E28" s="19" t="str">
        <x:v>S02: R; S03: R; S04: R</x:v>
      </x:c>
      <x:c r="F28" s="19" t="str">
        <x:v>Anledning till trans. = Planning</x:v>
      </x:c>
      <x:c r="G28" s="19" t="str">
        <x:v>SG5/STS+7/C556/9013</x:v>
      </x:c>
      <x:c r="H28" s="19" t="str">
        <x:v>U §3.7</x:v>
      </x:c>
      <x:c r="I28" s="19" t="str">
        <x:v>52</x:v>
      </x:c>
      <x:c r="J28" s="19" t="str">
        <x:v>2026-10-01</x:v>
      </x:c>
      <x:c r="K28" s="19" t="str">
        <x:v>Källtabell avläst; ej runtimeverifierad</x:v>
      </x:c>
    </x:row>
    <x:row r="29" ht="32" customHeight="1">
      <x:c r="A29" s="19" t="str">
        <x:v>UF-planning-264-52</x:v>
      </x:c>
      <x:c r="B29" s="19" t="str">
        <x:v>264</x:v>
      </x:c>
      <x:c r="C29" s="19" t="str">
        <x:v>planning</x:v>
      </x:c>
      <x:c r="D29" s="19" t="str">
        <x:v>Enhet</x:v>
      </x:c>
      <x:c r="E29" s="19" t="str">
        <x:v>S02: R; S03: R; S04: R</x:v>
      </x:c>
      <x:c r="F29" s="19" t="str">
        <x:v>Anger enhet för hela transaktionen.</x:v>
      </x:c>
      <x:c r="G29" s="19" t="str">
        <x:v>SG5/MEA+AAZ/C174/64 11</x:v>
      </x:c>
      <x:c r="H29" s="19" t="str">
        <x:v>U §3.7</x:v>
      </x:c>
      <x:c r="I29" s="19" t="str">
        <x:v>52</x:v>
      </x:c>
      <x:c r="J29" s="19" t="str">
        <x:v>2026-10-01</x:v>
      </x:c>
      <x:c r="K29" s="19" t="str">
        <x:v>Källtabell avläst; ej runtimeverifierad</x:v>
      </x:c>
    </x:row>
    <x:row r="30" ht="36.599998474121094" customHeight="1">
      <x:c r="A30" s="19" t="str">
        <x:v>UF-planning-226-52</x:v>
      </x:c>
      <x:c r="B30" s="19" t="str">
        <x:v>226</x:v>
      </x:c>
      <x:c r="C30" s="19" t="str">
        <x:v>planning</x:v>
      </x:c>
      <x:c r="D30" s="19" t="str">
        <x:v>Referens till PRODAT- ärendereferens</x:v>
      </x:c>
      <x:c r="E30" s="19" t="str">
        <x:v>S02: O; S03: -; S04: -</x:v>
      </x:c>
      <x:c r="F30" s="19" t="str">
        <x:v>Kan anges för att knyta ihop UTILTS-transaktionen med PRODAT-ärendet.</x:v>
      </x:c>
      <x:c r="G30" s="19" t="str">
        <x:v>SG6/RFF+TN/C506/1154</x:v>
      </x:c>
      <x:c r="H30" s="19" t="str">
        <x:v>U §3.7</x:v>
      </x:c>
      <x:c r="I30" s="19" t="str">
        <x:v>52</x:v>
      </x:c>
      <x:c r="J30" s="19" t="str">
        <x:v>2026-10-01</x:v>
      </x:c>
      <x:c r="K30" s="19" t="str">
        <x:v>Källtabell avläst; ej runtimeverifierad</x:v>
      </x:c>
    </x:row>
    <x:row r="31" ht="32" customHeight="1">
      <x:c r="A31" s="19" t="str">
        <x:v>UF-planning-254-52</x:v>
      </x:c>
      <x:c r="B31" s="19" t="str">
        <x:v>254</x:v>
      </x:c>
      <x:c r="C31" s="19" t="str">
        <x:v>planning</x:v>
      </x:c>
      <x:c r="D31" s="19" t="str">
        <x:v>Avräkningsmetod</x:v>
      </x:c>
      <x:c r="E31" s="19" t="str">
        <x:v>S02: -; S03: R; S04: -</x:v>
      </x:c>
      <x:c r="F31" s="19" t="str">
        <x:v>”Profiled” eller ”Non-profiled”</x:v>
      </x:c>
      <x:c r="G31" s="19" t="str">
        <x:v>SG7/CAV/C889/7111 under SG7/CCI+++E02</x:v>
      </x:c>
      <x:c r="H31" s="19" t="str">
        <x:v>U §3.7</x:v>
      </x:c>
      <x:c r="I31" s="19" t="str">
        <x:v>52</x:v>
      </x:c>
      <x:c r="J31" s="19" t="str">
        <x:v>2026-10-01</x:v>
      </x:c>
      <x:c r="K31" s="19" t="str">
        <x:v>Källtabell avläst; ej runtimeverifierad</x:v>
      </x:c>
    </x:row>
    <x:row r="32" ht="36.599998474121094" customHeight="1">
      <x:c r="A32" s="19" t="str">
        <x:v>UF-planning-513-52</x:v>
      </x:c>
      <x:c r="B32" s="19" t="str">
        <x:v>513</x:v>
      </x:c>
      <x:c r="C32" s="19" t="str">
        <x:v>planning</x:v>
      </x:c>
      <x:c r="D32" s="19" t="str">
        <x:v>Typ av anläggning(ar)</x:v>
      </x:c>
      <x:c r="E32" s="19" t="str">
        <x:v>S02: -; S03: R; S04: -</x:v>
      </x:c>
      <x:c r="F32" s="19" t="str">
        <x:v>Kod för ”Consumption”, ”Production” eller ”Exchange”. Är i UTILTS S03 alltid förbrukning.</x:v>
      </x:c>
      <x:c r="G32" s="19" t="str">
        <x:v>SG7/CAV/C889/7111 under SG7/CCI+++E12</x:v>
      </x:c>
      <x:c r="H32" s="19" t="str">
        <x:v>U §3.7</x:v>
      </x:c>
      <x:c r="I32" s="19" t="str">
        <x:v>52</x:v>
      </x:c>
      <x:c r="J32" s="19" t="str">
        <x:v>2026-10-01</x:v>
      </x:c>
      <x:c r="K32" s="19" t="str">
        <x:v>Källtabell avläst; ej runtimeverifierad</x:v>
      </x:c>
    </x:row>
    <x:row r="33" ht="50.400001525878906" customHeight="1">
      <x:c r="A33" s="19" t="str">
        <x:v>UF-planning-507a-52</x:v>
      </x:c>
      <x:c r="B33" s="19" t="str">
        <x:v>507a</x:v>
      </x:c>
      <x:c r="C33" s="19" t="str">
        <x:v>planning</x:v>
      </x:c>
      <x:c r="D33" s="19" t="str">
        <x:v>Antal mätpunkter</x:v>
      </x:c>
      <x:c r="E33" s="19" t="str">
        <x:v>S02: -; S03: D; S04: -</x:v>
      </x:c>
      <x:c r="F33" s="19" t="str">
        <x:v>Ange default antal mätpunkter. Används vid rapportering av aggregerade serier, användningen beror på aktuell tidsserieprodukt (PC+PT). Se vidare beskrivning i CAV-segmentet (SG7).</x:v>
      </x:c>
      <x:c r="G33" s="19" t="str">
        <x:v>SG7/CAV/C889/7110 under SG7/CCI+++Z01</x:v>
      </x:c>
      <x:c r="H33" s="19" t="str">
        <x:v>U §3.7</x:v>
      </x:c>
      <x:c r="I33" s="19" t="str">
        <x:v>52</x:v>
      </x:c>
      <x:c r="J33" s="19" t="str">
        <x:v>2026-10-01</x:v>
      </x:c>
      <x:c r="K33" s="19" t="str">
        <x:v>Källtabell avläst; ej runtimeverifierad</x:v>
      </x:c>
    </x:row>
    <x:row r="34" ht="36.599998474121094" customHeight="1">
      <x:c r="A34" s="19" t="str">
        <x:v>UF-planning-514-52</x:v>
      </x:c>
      <x:c r="B34" s="19" t="str">
        <x:v>514</x:v>
      </x:c>
      <x:c r="C34" s="19" t="str">
        <x:v>planning</x:v>
      </x:c>
      <x:c r="D34" s="19" t="str">
        <x:v>Observationsnr</x:v>
      </x:c>
      <x:c r="E34" s="19" t="str">
        <x:v>S02: R; S03: R; S04: R</x:v>
      </x:c>
      <x:c r="F34" s="19" t="str">
        <x:v>Löpnr/sekvens för resp detaljrad, starta alltid på 1 och räkna upp med 1 för varje detaljrad.</x:v>
      </x:c>
      <x:c r="G34" s="19" t="str">
        <x:v>SG8/SEQ/C286/1050</x:v>
      </x:c>
      <x:c r="H34" s="19" t="str">
        <x:v>U §3.7</x:v>
      </x:c>
      <x:c r="I34" s="19" t="str">
        <x:v>52</x:v>
      </x:c>
      <x:c r="J34" s="19" t="str">
        <x:v>2026-10-01</x:v>
      </x:c>
      <x:c r="K34" s="19" t="str">
        <x:v>Källtabell avläst; ej runtimeverifierad</x:v>
      </x:c>
    </x:row>
    <x:row r="35" ht="32" customHeight="1">
      <x:c r="A35" s="19" t="str">
        <x:v>UF-planning-515-52</x:v>
      </x:c>
      <x:c r="B35" s="19" t="str">
        <x:v>515</x:v>
      </x:c>
      <x:c r="C35" s="19" t="str">
        <x:v>planning</x:v>
      </x:c>
      <x:c r="D35" s="19" t="str">
        <x:v>Planerad periodisk kvantitet</x:v>
      </x:c>
      <x:c r="E35" s="19" t="str">
        <x:v>S02: R; S03: R; S04: R</x:v>
      </x:c>
      <x:c r="F35" s="19" t="str">
        <x:v>Prognostiserad energimängd (eller andelstal)</x:v>
      </x:c>
      <x:c r="G35" s="19" t="str">
        <x:v>SG11/QTY+135/C186/606 0</x:v>
      </x:c>
      <x:c r="H35" s="19" t="str">
        <x:v>U §3.7</x:v>
      </x:c>
      <x:c r="I35" s="19" t="str">
        <x:v>52</x:v>
      </x:c>
      <x:c r="J35" s="19" t="str">
        <x:v>2026-10-01</x:v>
      </x:c>
      <x:c r="K35" s="19" t="str">
        <x:v>Källtabell avläst; ej runtimeverifierad</x:v>
      </x:c>
    </x:row>
    <x:row r="36" ht="36.599998474121094" customHeight="1">
      <x:c r="A36" s="19" t="str">
        <x:v>UF-planning-520-52</x:v>
      </x:c>
      <x:c r="B36" s="19" t="str">
        <x:v>520</x:v>
      </x:c>
      <x:c r="C36" s="19" t="str">
        <x:v>planning</x:v>
      </x:c>
      <x:c r="D36" s="19" t="str">
        <x:v>Kvantitetskvalitet</x:v>
      </x:c>
      <x:c r="E36" s="19" t="str">
        <x:v>S02: D; S03: -; S04: -</x:v>
      </x:c>
      <x:c r="F36" s="19" t="str">
        <x:v>Obligatoriskt om värde i fält 515 har lägre kvalitet än godkänt. Se koder i SG11/STS.</x:v>
      </x:c>
      <x:c r="G36" s="19" t="str">
        <x:v>SG11/STS+8/C555/4405</x:v>
      </x:c>
      <x:c r="H36" s="19" t="str">
        <x:v>U §3.7</x:v>
      </x:c>
      <x:c r="I36" s="19" t="str">
        <x:v>52</x:v>
      </x:c>
      <x:c r="J36" s="19" t="str">
        <x:v>2026-10-01</x:v>
      </x:c>
      <x:c r="K36" s="19" t="str">
        <x:v>Källtabell avläst; ej runtimeverifierad</x:v>
      </x:c>
    </x:row>
    <x:row r="37" ht="78" customHeight="1">
      <x:c r="A37" s="19" t="str">
        <x:v>UF-planning-507b-52</x:v>
      </x:c>
      <x:c r="B37" s="19" t="str">
        <x:v>507b</x:v>
      </x:c>
      <x:c r="C37" s="19" t="str">
        <x:v>planning</x:v>
      </x:c>
      <x:c r="D37" s="19" t="str">
        <x:v>Avvikande antal mätpunkter</x:v>
      </x:c>
      <x:c r="E37" s="19" t="str">
        <x:v>S02: -; S03: D; S04: -</x:v>
      </x:c>
      <x:c r="F37" s="19" t="str">
        <x:v>Anger faktiska antalet mätpunkter för aktuell observation. Används endast om det skiljer mot fält 507a ovan, användningen beror också på angiven tidsserieprodukt (PC och PT). Används vid rapportering av aggregerade serier. Se vidare beskrivning i CAV-segmentet (SG12).</x:v>
      </x:c>
      <x:c r="G37" s="19" t="str">
        <x:v>SG12/CAV/C889/7110 under SG12/CCI+++Z01</x:v>
      </x:c>
      <x:c r="H37" s="19" t="str">
        <x:v>U §3.7</x:v>
      </x:c>
      <x:c r="I37" s="19" t="str">
        <x:v>52</x:v>
      </x:c>
      <x:c r="J37" s="19" t="str">
        <x:v>2026-10-01</x:v>
      </x:c>
      <x:c r="K37" s="19" t="str">
        <x:v>Källtabell avläst; ej runtimeverifierad</x:v>
      </x:c>
    </x:row>
    <x:row r="38" ht="133.1999969482422" customHeight="1">
      <x:c r="A38" s="19" t="str">
        <x:v>UF-metering_settlement-311-53</x:v>
      </x:c>
      <x:c r="B38" s="19" t="str">
        <x:v>311</x:v>
      </x:c>
      <x:c r="C38" s="19" t="str">
        <x:v>metering_settlement</x:v>
      </x:c>
      <x:c r="D38" s="19" t="str">
        <x:v>Application Reference</x:v>
      </x:c>
      <x:c r="E38" s="19" t="str">
        <x:v>E30: R; E31: R; E66: R; S01: R; S05: R; S07: R</x:v>
      </x:c>
      <x:c r="F38" s="19" t="str">
        <x:v>För E30: ska vara 23-MDR-E30-S eller -T För E31: 23-DDQ-E31-S eller -T, 23-DDK-E31-S/-T, 23-DEA-E31- T eller 23-DDX-E31-S/-T För E66: 23-DEA-E66-S eller -T, 23-DDQ-E66-S/-T, 23-DEC-E66- S/-T, 23-DGI-E66-S/-T, 23-DDK- E66-S/-T, 23-PQ-E66-T eller 23- EZ-E66-T För S01: 23-DDK-S01-S eller -&lt; processtyp&gt; eller 23-DEA-S01-T För S05: 23-DDQ-S05-S eller -&lt; processtyp&gt; För S07: 23-DDQ-S07-S eller -T, 23-DEC-S07-S/-T, 23-DDK-S07- S/-T För aktuell lista över processtyper, se dokumentet med tidsserieprodukter.</x:v>
      </x:c>
      <x:c r="G38" s="19" t="str">
        <x:v>UNB/0026</x:v>
      </x:c>
      <x:c r="H38" s="19" t="str">
        <x:v>U §3.7</x:v>
      </x:c>
      <x:c r="I38" s="19" t="str">
        <x:v>53</x:v>
      </x:c>
      <x:c r="J38" s="19" t="str">
        <x:v>2026-10-01</x:v>
      </x:c>
      <x:c r="K38" s="19" t="str">
        <x:v>Källtabell avläst; ej runtimeverifierad</x:v>
      </x:c>
    </x:row>
    <x:row r="39" ht="36.599998474121094" customHeight="1">
      <x:c r="A39" s="19" t="str">
        <x:v>UF-metering_settlement-312-53</x:v>
      </x:c>
      <x:c r="B39" s="19" t="str">
        <x:v>312</x:v>
      </x:c>
      <x:c r="C39" s="19" t="str">
        <x:v>metering_settlement</x:v>
      </x:c>
      <x:c r="D39" s="19" t="str">
        <x:v>Version</x:v>
      </x:c>
      <x:c r="E39" s="19" t="str">
        <x:v>E30: R; E31: R; E66: R; S01: R; S05: R; S07: R</x:v>
      </x:c>
      <x:c r="F39" s="19" t="str">
        <x:v>Aktuell version av Ediel- meddelandet.</x:v>
      </x:c>
      <x:c r="G39" s="19" t="str">
        <x:v>UNH/S009/0057</x:v>
      </x:c>
      <x:c r="H39" s="19" t="str">
        <x:v>U §3.7</x:v>
      </x:c>
      <x:c r="I39" s="19" t="str">
        <x:v>53</x:v>
      </x:c>
      <x:c r="J39" s="19" t="str">
        <x:v>2026-10-01</x:v>
      </x:c>
      <x:c r="K39" s="19" t="str">
        <x:v>Källtabell avläst; ej runtimeverifierad</x:v>
      </x:c>
    </x:row>
    <x:row r="40" ht="36.599998474121094" customHeight="1">
      <x:c r="A40" s="19" t="str">
        <x:v>UF-metering_settlement-202-53</x:v>
      </x:c>
      <x:c r="B40" s="19" t="str">
        <x:v>202</x:v>
      </x:c>
      <x:c r="C40" s="19" t="str">
        <x:v>metering_settlement</x:v>
      </x:c>
      <x:c r="D40" s="19" t="str">
        <x:v>Dokumentnamn, kod</x:v>
      </x:c>
      <x:c r="E40" s="19" t="str">
        <x:v>E30: R; E31: R; E66: R; S01: R; S05: R; S07: R</x:v>
      </x:c>
      <x:c r="F40" s="19" t="str">
        <x:v>UTILTS-meddelandetyp: E30, E31, E66, S01, S05, S07</x:v>
      </x:c>
      <x:c r="G40" s="19" t="str">
        <x:v>BGM/C002/1001</x:v>
      </x:c>
      <x:c r="H40" s="19" t="str">
        <x:v>U §3.7</x:v>
      </x:c>
      <x:c r="I40" s="19" t="str">
        <x:v>53</x:v>
      </x:c>
      <x:c r="J40" s="19" t="str">
        <x:v>2026-10-01</x:v>
      </x:c>
      <x:c r="K40" s="19" t="str">
        <x:v>Källtabell avläst; ej runtimeverifierad</x:v>
      </x:c>
    </x:row>
    <x:row r="41" ht="36.599998474121094" customHeight="1">
      <x:c r="A41" s="19" t="str">
        <x:v>UF-metering_settlement-203-53</x:v>
      </x:c>
      <x:c r="B41" s="19" t="str">
        <x:v>203</x:v>
      </x:c>
      <x:c r="C41" s="19" t="str">
        <x:v>metering_settlement</x:v>
      </x:c>
      <x:c r="D41" s="19" t="str">
        <x:v>Dokument id</x:v>
      </x:c>
      <x:c r="E41" s="19" t="str">
        <x:v>E30: R; E31: R; E66: R; S01: R; S05: R; S07: R</x:v>
      </x:c>
      <x:c r="F41" s="19" t="str">
        <x:v>Unik identitet på hela UTILTS- medd.</x:v>
      </x:c>
      <x:c r="G41" s="19" t="str">
        <x:v>BGM/C106/1004</x:v>
      </x:c>
      <x:c r="H41" s="19" t="str">
        <x:v>U §3.7</x:v>
      </x:c>
      <x:c r="I41" s="19" t="str">
        <x:v>53</x:v>
      </x:c>
      <x:c r="J41" s="19" t="str">
        <x:v>2026-10-01</x:v>
      </x:c>
      <x:c r="K41" s="19" t="str">
        <x:v>Källtabell avläst; ej runtimeverifierad</x:v>
      </x:c>
    </x:row>
    <x:row r="42" ht="36.599998474121094" customHeight="1">
      <x:c r="A42" s="19" t="str">
        <x:v>UF-metering_settlement-204-54</x:v>
      </x:c>
      <x:c r="B42" s="19" t="str">
        <x:v>204</x:v>
      </x:c>
      <x:c r="C42" s="19" t="str">
        <x:v>metering_settlement</x:v>
      </x:c>
      <x:c r="D42" s="19" t="str">
        <x:v>Meddelandefunktion</x:v>
      </x:c>
      <x:c r="E42" s="19" t="str">
        <x:v>E30: R; E31: R; E66: R; S01: R; S05: R; S07: R</x:v>
      </x:c>
      <x:c r="F42" s="19" t="str">
        <x:v>Funktion, se kod i BGM</x:v>
      </x:c>
      <x:c r="G42" s="19" t="str">
        <x:v>BGM/1225</x:v>
      </x:c>
      <x:c r="H42" s="19" t="str">
        <x:v>U §3.7</x:v>
      </x:c>
      <x:c r="I42" s="19" t="str">
        <x:v>54</x:v>
      </x:c>
      <x:c r="J42" s="19" t="str">
        <x:v>2026-10-01</x:v>
      </x:c>
      <x:c r="K42" s="19" t="str">
        <x:v>Källtabell avläst; ej runtimeverifierad</x:v>
      </x:c>
    </x:row>
    <x:row r="43" ht="36.599998474121094" customHeight="1">
      <x:c r="A43" s="19" t="str">
        <x:v>UF-metering_settlement-313-54</x:v>
      </x:c>
      <x:c r="B43" s="19" t="str">
        <x:v>313</x:v>
      </x:c>
      <x:c r="C43" s="19" t="str">
        <x:v>metering_settlement</x:v>
      </x:c>
      <x:c r="D43" s="19" t="str">
        <x:v>Kvittensbegäran</x:v>
      </x:c>
      <x:c r="E43" s="19" t="str">
        <x:v>E30: R; E31: R; E66: R; S01: R; S05: R; S07: R</x:v>
      </x:c>
      <x:c r="F43" s="19" t="str">
        <x:v>Begäran om APERAK</x:v>
      </x:c>
      <x:c r="G43" s="19" t="str">
        <x:v>BGM/4343</x:v>
      </x:c>
      <x:c r="H43" s="19" t="str">
        <x:v>U §3.7</x:v>
      </x:c>
      <x:c r="I43" s="19" t="str">
        <x:v>54</x:v>
      </x:c>
      <x:c r="J43" s="19" t="str">
        <x:v>2026-10-01</x:v>
      </x:c>
      <x:c r="K43" s="19" t="str">
        <x:v>Källtabell avläst; ej runtimeverifierad</x:v>
      </x:c>
    </x:row>
    <x:row r="44" ht="36.599998474121094" customHeight="1">
      <x:c r="A44" s="19" t="str">
        <x:v>UF-metering_settlement-205-54</x:v>
      </x:c>
      <x:c r="B44" s="19" t="str">
        <x:v>205</x:v>
      </x:c>
      <x:c r="C44" s="19" t="str">
        <x:v>metering_settlement</x:v>
      </x:c>
      <x:c r="D44" s="19" t="str">
        <x:v>Meddelandedatum</x:v>
      </x:c>
      <x:c r="E44" s="19" t="str">
        <x:v>E30: R; E31: R; E66: R; S01: R; S05: R; S07: R</x:v>
      </x:c>
      <x:c r="F44" s="19" t="str">
        <x:v>Datum då UTILTS-medd skapas i applikationen, format enligt DTM</x:v>
      </x:c>
      <x:c r="G44" s="19" t="str">
        <x:v>DTM+137/C507/2 380</x:v>
      </x:c>
      <x:c r="H44" s="19" t="str">
        <x:v>U §3.7</x:v>
      </x:c>
      <x:c r="I44" s="19" t="str">
        <x:v>54</x:v>
      </x:c>
      <x:c r="J44" s="19" t="str">
        <x:v>2026-10-01</x:v>
      </x:c>
      <x:c r="K44" s="19" t="str">
        <x:v>Källtabell avläst; ej runtimeverifierad</x:v>
      </x:c>
    </x:row>
    <x:row r="45" ht="36.599998474121094" customHeight="1">
      <x:c r="A45" s="19" t="str">
        <x:v>UF-metering_settlement-206-54</x:v>
      </x:c>
      <x:c r="B45" s="19" t="str">
        <x:v>206</x:v>
      </x:c>
      <x:c r="C45" s="19" t="str">
        <x:v>metering_settlement</x:v>
      </x:c>
      <x:c r="D45" s="19" t="str">
        <x:v>Tidzon</x:v>
      </x:c>
      <x:c r="E45" s="19" t="str">
        <x:v>E30: R; E31: R; E66: R; S01: R; S05: R; S07: R</x:v>
      </x:c>
      <x:c r="F45" s="19" t="str">
        <x:v>Tidzon anges som ”offset” till UTC.</x:v>
      </x:c>
      <x:c r="G45" s="19" t="str">
        <x:v>DTM+735/C507/2 380</x:v>
      </x:c>
      <x:c r="H45" s="19" t="str">
        <x:v>U §3.7</x:v>
      </x:c>
      <x:c r="I45" s="19" t="str">
        <x:v>54</x:v>
      </x:c>
      <x:c r="J45" s="19" t="str">
        <x:v>2026-10-01</x:v>
      </x:c>
      <x:c r="K45" s="19" t="str">
        <x:v>Källtabell avläst; ej runtimeverifierad</x:v>
      </x:c>
    </x:row>
    <x:row r="46" ht="36.599998474121094" customHeight="1">
      <x:c r="A46" s="19" t="str">
        <x:v>UF-metering_settlement-501-54</x:v>
      </x:c>
      <x:c r="B46" s="19" t="str">
        <x:v>501</x:v>
      </x:c>
      <x:c r="C46" s="19" t="str">
        <x:v>metering_settlement</x:v>
      </x:c>
      <x:c r="D46" s="19" t="str">
        <x:v>Marknad</x:v>
      </x:c>
      <x:c r="E46" s="19" t="str">
        <x:v>E30: R; E31: R; E66: R; S01: R; S05: R; S07: R</x:v>
      </x:c>
      <x:c r="F46" s="19" t="str">
        <x:v>El eller gas, se kod i MKS</x:v>
      </x:c>
      <x:c r="G46" s="19" t="str">
        <x:v>MKS/7293</x:v>
      </x:c>
      <x:c r="H46" s="19" t="str">
        <x:v>U §3.7</x:v>
      </x:c>
      <x:c r="I46" s="19" t="str">
        <x:v>54</x:v>
      </x:c>
      <x:c r="J46" s="19" t="str">
        <x:v>2026-10-01</x:v>
      </x:c>
      <x:c r="K46" s="19" t="str">
        <x:v>Källtabell avläst; ej runtimeverifierad</x:v>
      </x:c>
    </x:row>
    <x:row r="47" ht="36.599998474121094" customHeight="1">
      <x:c r="A47" s="19" t="str">
        <x:v>UF-metering_settlement-502-54</x:v>
      </x:c>
      <x:c r="B47" s="19" t="str">
        <x:v>502</x:v>
      </x:c>
      <x:c r="C47" s="19" t="str">
        <x:v>metering_settlement</x:v>
      </x:c>
      <x:c r="D47" s="19" t="str">
        <x:v>Skede</x:v>
      </x:c>
      <x:c r="E47" s="19" t="str">
        <x:v>E30: R; E31: R; E66: R; S01: R; S05: R; S07: R</x:v>
      </x:c>
      <x:c r="F47" s="19" t="str">
        <x:v>Aktuellt skede, se kod i MKS</x:v>
      </x:c>
      <x:c r="G47" s="19" t="str">
        <x:v>MKS/C332/3496</x:v>
      </x:c>
      <x:c r="H47" s="19" t="str">
        <x:v>U §3.7</x:v>
      </x:c>
      <x:c r="I47" s="19" t="str">
        <x:v>54</x:v>
      </x:c>
      <x:c r="J47" s="19" t="str">
        <x:v>2026-10-01</x:v>
      </x:c>
      <x:c r="K47" s="19" t="str">
        <x:v>Källtabell avläst; ej runtimeverifierad</x:v>
      </x:c>
    </x:row>
    <x:row r="48" ht="36.599998474121094" customHeight="1">
      <x:c r="A48" s="19" t="str">
        <x:v>UF-metering_settlement-207-54</x:v>
      </x:c>
      <x:c r="B48" s="19" t="str">
        <x:v>207</x:v>
      </x:c>
      <x:c r="C48" s="19" t="str">
        <x:v>metering_settlement</x:v>
      </x:c>
      <x:c r="D48" s="19" t="str">
        <x:v>Avsändare</x:v>
      </x:c>
      <x:c r="E48" s="19" t="str">
        <x:v>E30: R; E31: R; E66: R; S01: R; S05: R; S07: R</x:v>
      </x:c>
      <x:c r="F48" s="19" t="str">
        <x:v>Juridisk avsändare, Ediel-id</x:v>
      </x:c>
      <x:c r="G48" s="19" t="str">
        <x:v>SG2/NAD+MS/C 082/3039</x:v>
      </x:c>
      <x:c r="H48" s="19" t="str">
        <x:v>U §3.7</x:v>
      </x:c>
      <x:c r="I48" s="19" t="str">
        <x:v>54</x:v>
      </x:c>
      <x:c r="J48" s="19" t="str">
        <x:v>2026-10-01</x:v>
      </x:c>
      <x:c r="K48" s="19" t="str">
        <x:v>Källtabell avläst; ej runtimeverifierad</x:v>
      </x:c>
    </x:row>
    <x:row r="49" ht="36.599998474121094" customHeight="1">
      <x:c r="A49" s="19" t="str">
        <x:v>UF-metering_settlement-208-54</x:v>
      </x:c>
      <x:c r="B49" s="19" t="str">
        <x:v>208</x:v>
      </x:c>
      <x:c r="C49" s="19" t="str">
        <x:v>metering_settlement</x:v>
      </x:c>
      <x:c r="D49" s="19" t="str">
        <x:v>Mottagare</x:v>
      </x:c>
      <x:c r="E49" s="19" t="str">
        <x:v>E30: R; E31: R; E66: R; S01: R; S05: R; S07: R</x:v>
      </x:c>
      <x:c r="F49" s="19" t="str">
        <x:v>Juridisk mottagare, Ediel-id</x:v>
      </x:c>
      <x:c r="G49" s="19" t="str">
        <x:v>SG2/NAD+MR/C 082/3039</x:v>
      </x:c>
      <x:c r="H49" s="19" t="str">
        <x:v>U §3.7</x:v>
      </x:c>
      <x:c r="I49" s="19" t="str">
        <x:v>54</x:v>
      </x:c>
      <x:c r="J49" s="19" t="str">
        <x:v>2026-10-01</x:v>
      </x:c>
      <x:c r="K49" s="19" t="str">
        <x:v>Källtabell avläst; ej runtimeverifierad</x:v>
      </x:c>
    </x:row>
    <x:row r="50" ht="36.599998474121094" customHeight="1">
      <x:c r="A50" s="19" t="str">
        <x:v>UF-metering_settlement-509-54</x:v>
      </x:c>
      <x:c r="B50" s="19" t="str">
        <x:v>509</x:v>
      </x:c>
      <x:c r="C50" s="19" t="str">
        <x:v>metering_settlement</x:v>
      </x:c>
      <x:c r="D50" s="19" t="str">
        <x:v>Underordnad roll</x:v>
      </x:c>
      <x:c r="E50" s="19" t="str">
        <x:v>E30: R; E31: R; E66: R; S01: R; S05: R; S07: R</x:v>
      </x:c>
      <x:c r="F50" s="19" t="str">
        <x:v>Kod för den part som ej är ansvarig för meddelandet, i dessa fall mottagarens roll, t ex systemansvarig, balansansvarig osv</x:v>
      </x:c>
      <x:c r="G50" s="19" t="str">
        <x:v>SG2/NAD+rollko d</x:v>
      </x:c>
      <x:c r="H50" s="19" t="str">
        <x:v>U §3.7</x:v>
      </x:c>
      <x:c r="I50" s="19" t="str">
        <x:v>54</x:v>
      </x:c>
      <x:c r="J50" s="19" t="str">
        <x:v>2026-10-01</x:v>
      </x:c>
      <x:c r="K50" s="19" t="str">
        <x:v>Källtabell avläst; ej runtimeverifierad</x:v>
      </x:c>
    </x:row>
    <x:row r="51" ht="36.599998474121094" customHeight="1">
      <x:c r="A51" s="19" t="str">
        <x:v>UF-metering_settlement-505-54</x:v>
      </x:c>
      <x:c r="B51" s="19" t="str">
        <x:v>505</x:v>
      </x:c>
      <x:c r="C51" s="19" t="str">
        <x:v>metering_settlement</x:v>
      </x:c>
      <x:c r="D51" s="19" t="str">
        <x:v>Transaktionsnr</x:v>
      </x:c>
      <x:c r="E51" s="19" t="str">
        <x:v>E30: R; E31: R; E66: R; S01: R; S05: R; S07: R</x:v>
      </x:c>
      <x:c r="F51" s="19" t="str">
        <x:v>Avsändarens unika id på transaktionen. Används för att kunna referera till en specifik transaktion.</x:v>
      </x:c>
      <x:c r="G51" s="19" t="str">
        <x:v>SG5/IDE+24/C20 6/7402</x:v>
      </x:c>
      <x:c r="H51" s="19" t="str">
        <x:v>U §3.7</x:v>
      </x:c>
      <x:c r="I51" s="19" t="str">
        <x:v>54</x:v>
      </x:c>
      <x:c r="J51" s="19" t="str">
        <x:v>2026-10-01</x:v>
      </x:c>
      <x:c r="K51" s="19" t="str">
        <x:v>Källtabell avläst; ej runtimeverifierad</x:v>
      </x:c>
    </x:row>
    <x:row r="52" ht="36.599998474121094" customHeight="1">
      <x:c r="A52" s="19" t="str">
        <x:v>UF-metering_settlement-209-54</x:v>
      </x:c>
      <x:c r="B52" s="19" t="str">
        <x:v>209</x:v>
      </x:c>
      <x:c r="C52" s="19" t="str">
        <x:v>metering_settlement</x:v>
      </x:c>
      <x:c r="D52" s="19" t="str">
        <x:v>Anläggningsid</x:v>
      </x:c>
      <x:c r="E52" s="19" t="str">
        <x:v>E30: R; E31: -; E66: D; S01: -; S05: -; S07: R</x:v>
      </x:c>
      <x:c r="F52" s="19" t="str">
        <x:v>Anläggningsid, normalt GS1-nr. Används i E66 utom då mätvärden för reglerobjekt skickas.</x:v>
      </x:c>
      <x:c r="G52" s="19" t="str">
        <x:v>SG5/LOC+172/C5 17/3225</x:v>
      </x:c>
      <x:c r="H52" s="19" t="str">
        <x:v>U §3.7</x:v>
      </x:c>
      <x:c r="I52" s="19" t="str">
        <x:v>54</x:v>
      </x:c>
      <x:c r="J52" s="19" t="str">
        <x:v>2026-10-01</x:v>
      </x:c>
      <x:c r="K52" s="19" t="str">
        <x:v>Källtabell avläst; ej runtimeverifierad</x:v>
      </x:c>
    </x:row>
    <x:row r="53" ht="50.400001525878906" customHeight="1">
      <x:c r="A53" s="19" t="str">
        <x:v>UF-metering_settlement-533-54</x:v>
      </x:c>
      <x:c r="B53" s="19" t="str">
        <x:v>533</x:v>
      </x:c>
      <x:c r="C53" s="19" t="str">
        <x:v>metering_settlement</x:v>
      </x:c>
      <x:c r="D53" s="19" t="str">
        <x:v>Reglerobjektsid</x:v>
      </x:c>
      <x:c r="E53" s="19" t="str">
        <x:v>E30: -; E31: -; E66: D; S01: D; S05: -; S07: -</x:v>
      </x:c>
      <x:c r="F53" s="19" t="str">
        <x:v>Reglerobjektsid. Används i E66 då mätvärden för reglerobjekt skickas. Används i S01 beroende på tidsserieprodukt (dvs då tidsserien avser ett reglerobjekt).</x:v>
      </x:c>
      <x:c r="G53" s="19" t="str">
        <x:v>SG5/LOC+175/C5 17/3225</x:v>
      </x:c>
      <x:c r="H53" s="19" t="str">
        <x:v>U §3.7</x:v>
      </x:c>
      <x:c r="I53" s="19" t="str">
        <x:v>54</x:v>
      </x:c>
      <x:c r="J53" s="19" t="str">
        <x:v>2026-10-01</x:v>
      </x:c>
      <x:c r="K53" s="19" t="str">
        <x:v>Källtabell avläst; ej runtimeverifierad</x:v>
      </x:c>
    </x:row>
    <x:row r="54" ht="36.599998474121094" customHeight="1">
      <x:c r="A54" s="19" t="str">
        <x:v>UF-metering_settlement-260a-54</x:v>
      </x:c>
      <x:c r="B54" s="19" t="str">
        <x:v>260a</x:v>
      </x:c>
      <x:c r="C54" s="19" t="str">
        <x:v>metering_settlement</x:v>
      </x:c>
      <x:c r="D54" s="19" t="str">
        <x:v>Nätområdesid</x:v>
      </x:c>
      <x:c r="E54" s="19" t="str">
        <x:v>E30: O; E31: D; E66: D; S01: D; S05: D; S07: D</x:v>
      </x:c>
      <x:c r="F54" s="19" t="str">
        <x:v>Nätområdesid (eller identitet på annat område, t.ex. snittområde).</x:v>
      </x:c>
      <x:c r="G54" s="19" t="str">
        <x:v>SG5/LOC+239/C5 17/3225</x:v>
      </x:c>
      <x:c r="H54" s="19" t="str">
        <x:v>U §3.7</x:v>
      </x:c>
      <x:c r="I54" s="19" t="str">
        <x:v>54</x:v>
      </x:c>
      <x:c r="J54" s="19" t="str">
        <x:v>2026-10-01</x:v>
      </x:c>
      <x:c r="K54" s="19" t="str">
        <x:v>Källtabell avläst; ej runtimeverifierad</x:v>
      </x:c>
    </x:row>
    <x:row r="55" ht="36.599998474121094" customHeight="1">
      <x:c r="A55" s="19" t="str">
        <x:v>UF-metering_settlement-260b-55</x:v>
      </x:c>
      <x:c r="B55" s="19" t="str">
        <x:v>260b</x:v>
      </x:c>
      <x:c r="C55" s="19" t="str">
        <x:v>metering_settlement</x:v>
      </x:c>
      <x:c r="D55" s="19" t="str">
        <x:v>Nätområde18 – utmatning</x:v>
      </x:c>
      <x:c r="E55" s="19" t="str">
        <x:v>E30: O; E31: D; E66: D; S01: D; S05: -; S07: D</x:v>
      </x:c>
      <x:c r="F55" s="19" t="str">
        <x:v>Nätområdesid för utmatning. Skickas alltid tillsammans med 260c Frivilligt i E30 Obligatoriskt annars om fält 513 = Exchange</x:v>
      </x:c>
      <x:c r="G55" s="19" t="str">
        <x:v>SG5/LOC+232/C5 17/3225</x:v>
      </x:c>
      <x:c r="H55" s="19" t="str">
        <x:v>U §3.7</x:v>
      </x:c>
      <x:c r="I55" s="19" t="str">
        <x:v>55</x:v>
      </x:c>
      <x:c r="J55" s="19" t="str">
        <x:v>2026-10-01</x:v>
      </x:c>
      <x:c r="K55" s="19" t="str">
        <x:v>Källtabell avläst; ej runtimeverifierad</x:v>
      </x:c>
    </x:row>
    <x:row r="56" ht="36.599998474121094" customHeight="1">
      <x:c r="A56" s="19" t="str">
        <x:v>UF-metering_settlement-260c-55</x:v>
      </x:c>
      <x:c r="B56" s="19" t="str">
        <x:v>260c</x:v>
      </x:c>
      <x:c r="C56" s="19" t="str">
        <x:v>metering_settlement</x:v>
      </x:c>
      <x:c r="D56" s="19" t="str">
        <x:v>Nätområde18 – inmatning</x:v>
      </x:c>
      <x:c r="E56" s="19" t="str">
        <x:v>E30: O; E31: D; E66: D; S01: D; S05: -; S07: D</x:v>
      </x:c>
      <x:c r="F56" s="19" t="str">
        <x:v>Nätområdesid för inmatning. Skickas alltid tillsammans med 260b Frivilligt i E30 Obligatoriskt annars om fält 513 = Exchange</x:v>
      </x:c>
      <x:c r="G56" s="19" t="str">
        <x:v>SG5/LOC+233/C5 17/3225</x:v>
      </x:c>
      <x:c r="H56" s="19" t="str">
        <x:v>U §3.7</x:v>
      </x:c>
      <x:c r="I56" s="19" t="str">
        <x:v>55</x:v>
      </x:c>
      <x:c r="J56" s="19" t="str">
        <x:v>2026-10-01</x:v>
      </x:c>
      <x:c r="K56" s="19" t="str">
        <x:v>Källtabell avläst; ej runtimeverifierad</x:v>
      </x:c>
    </x:row>
    <x:row r="57" ht="36.599998474121094" customHeight="1">
      <x:c r="A57" s="19" t="str">
        <x:v>UF-metering_settlement-262-55</x:v>
      </x:c>
      <x:c r="B57" s="19" t="str">
        <x:v>262</x:v>
      </x:c>
      <x:c r="C57" s="19" t="str">
        <x:v>metering_settlement</x:v>
      </x:c>
      <x:c r="D57" s="19" t="str">
        <x:v>Balansansvarig</x:v>
      </x:c>
      <x:c r="E57" s="19" t="str">
        <x:v>E30: -; E31: D; E66: -; S01: D; S05: D; S07: -</x:v>
      </x:c>
      <x:c r="F57" s="19" t="str">
        <x:v>Balansansvarig villkor om detta fält ska skickas eller inte är beroende på vilken tidsserieprodukt (OT) som är aktuell.</x:v>
      </x:c>
      <x:c r="G57" s="19" t="str">
        <x:v>SG5/NAD+DDK// C082/3039</x:v>
      </x:c>
      <x:c r="H57" s="19" t="str">
        <x:v>U §3.7</x:v>
      </x:c>
      <x:c r="I57" s="19" t="str">
        <x:v>55</x:v>
      </x:c>
      <x:c r="J57" s="19" t="str">
        <x:v>2026-10-01</x:v>
      </x:c>
      <x:c r="K57" s="19" t="str">
        <x:v>Källtabell avläst; ej runtimeverifierad</x:v>
      </x:c>
    </x:row>
    <x:row r="58" ht="36.599998474121094" customHeight="1">
      <x:c r="A58" s="19" t="str">
        <x:v>UF-metering_settlement-510-55</x:v>
      </x:c>
      <x:c r="B58" s="19" t="str">
        <x:v>510</x:v>
      </x:c>
      <x:c r="C58" s="19" t="str">
        <x:v>metering_settlement</x:v>
      </x:c>
      <x:c r="D58" s="19" t="str">
        <x:v>Leverantör</x:v>
      </x:c>
      <x:c r="E58" s="19" t="str">
        <x:v>E30: -; E31: D; E66: -; S01: -; S05: D; S07: -</x:v>
      </x:c>
      <x:c r="F58" s="19" t="str">
        <x:v>Leverantör villkor om detta fält ska skickas eller inte är beroende på vilken tidsserieprodukt (OT) som är aktuell.</x:v>
      </x:c>
      <x:c r="G58" s="19" t="str">
        <x:v>SG5/NAD+DDQ// C082/3039</x:v>
      </x:c>
      <x:c r="H58" s="19" t="str">
        <x:v>U §3.7</x:v>
      </x:c>
      <x:c r="I58" s="19" t="str">
        <x:v>55</x:v>
      </x:c>
      <x:c r="J58" s="19" t="str">
        <x:v>2026-10-01</x:v>
      </x:c>
      <x:c r="K58" s="19" t="str">
        <x:v>Källtabell avläst; ej runtimeverifierad</x:v>
      </x:c>
    </x:row>
    <x:row r="59" ht="36.599998474121094" customHeight="1">
      <x:c r="A59" s="19" t="str">
        <x:v>UF-metering_settlement-524-56</x:v>
      </x:c>
      <x:c r="B59" s="19" t="str">
        <x:v>524</x:v>
      </x:c>
      <x:c r="C59" s="19" t="str">
        <x:v>metering_settlement</x:v>
      </x:c>
      <x:c r="D59" s="19" t="str">
        <x:v>Köpare</x:v>
      </x:c>
      <x:c r="E59" s="19" t="str">
        <x:v>E30: -; E31: -; E66: -; S01: D; S05: D; S07: -</x:v>
      </x:c>
      <x:c r="F59" s="19" t="str">
        <x:v>Köpare villkor om detta fält ska skickas eller inte är beroende på vilken tidsserieprodukt (OT) som är aktuell.</x:v>
      </x:c>
      <x:c r="G59" s="19" t="str">
        <x:v>SG5/NAD+BY//C 082/3039</x:v>
      </x:c>
      <x:c r="H59" s="19" t="str">
        <x:v>U §3.7</x:v>
      </x:c>
      <x:c r="I59" s="19" t="str">
        <x:v>56</x:v>
      </x:c>
      <x:c r="J59" s="19" t="str">
        <x:v>2026-10-01</x:v>
      </x:c>
      <x:c r="K59" s="19" t="str">
        <x:v>Källtabell avläst; ej runtimeverifierad</x:v>
      </x:c>
    </x:row>
    <x:row r="60" ht="36.599998474121094" customHeight="1">
      <x:c r="A60" s="19" t="str">
        <x:v>UF-metering_settlement-525-56</x:v>
      </x:c>
      <x:c r="B60" s="19" t="str">
        <x:v>525</x:v>
      </x:c>
      <x:c r="C60" s="19" t="str">
        <x:v>metering_settlement</x:v>
      </x:c>
      <x:c r="D60" s="19" t="str">
        <x:v>Säljare</x:v>
      </x:c>
      <x:c r="E60" s="19" t="str">
        <x:v>E30: -; E31: -; E66: -; S01: D; S05: D; S07: -</x:v>
      </x:c>
      <x:c r="F60" s="19" t="str">
        <x:v>Säljare villkor om detta fält ska skickas eller inte är beroende på vilken tidsserieprodukt (OT) som är aktuell.</x:v>
      </x:c>
      <x:c r="G60" s="19" t="str">
        <x:v>SG5/NAD+SE//C 082/3039</x:v>
      </x:c>
      <x:c r="H60" s="19" t="str">
        <x:v>U §3.7</x:v>
      </x:c>
      <x:c r="I60" s="19" t="str">
        <x:v>56</x:v>
      </x:c>
      <x:c r="J60" s="19" t="str">
        <x:v>2026-10-01</x:v>
      </x:c>
      <x:c r="K60" s="19" t="str">
        <x:v>Källtabell avläst; ej runtimeverifierad</x:v>
      </x:c>
    </x:row>
    <x:row r="61" ht="36.599998474121094" customHeight="1">
      <x:c r="A61" s="19" t="str">
        <x:v>UF-metering_settlement-526-56</x:v>
      </x:c>
      <x:c r="B61" s="19" t="str">
        <x:v>526</x:v>
      </x:c>
      <x:c r="C61" s="19" t="str">
        <x:v>metering_settlement</x:v>
      </x:c>
      <x:c r="D61" s="19" t="str">
        <x:v>Systemansvarig</x:v>
      </x:c>
      <x:c r="E61" s="19" t="str">
        <x:v>E30: -; E31: -; E66: -; S01: D; S05: D; S07: -</x:v>
      </x:c>
      <x:c r="F61" s="19" t="str">
        <x:v>Systemansvarig villkor om detta fält ska skickas eller inte är beroende på vilken tidsserieprodukt (OT) som är aktuell.</x:v>
      </x:c>
      <x:c r="G61" s="19" t="str">
        <x:v>SG5/NAD+EZ//C 082/3039</x:v>
      </x:c>
      <x:c r="H61" s="19" t="str">
        <x:v>U §3.7</x:v>
      </x:c>
      <x:c r="I61" s="19" t="str">
        <x:v>56</x:v>
      </x:c>
      <x:c r="J61" s="19" t="str">
        <x:v>2026-10-01</x:v>
      </x:c>
      <x:c r="K61" s="19" t="str">
        <x:v>Källtabell avläst; ej runtimeverifierad</x:v>
      </x:c>
    </x:row>
    <x:row r="62" ht="36.599998474121094" customHeight="1">
      <x:c r="A62" s="19" t="str">
        <x:v>UF-metering_settlement-506-56</x:v>
      </x:c>
      <x:c r="B62" s="19" t="str">
        <x:v>506</x:v>
      </x:c>
      <x:c r="C62" s="19" t="str">
        <x:v>metering_settlement</x:v>
      </x:c>
      <x:c r="D62" s="19" t="str">
        <x:v>Produkt id</x:v>
      </x:c>
      <x:c r="E62" s="19" t="str">
        <x:v>E30: -; E31: R; E66: R; S01: R; S05: R; S07: R</x:v>
      </x:c>
      <x:c r="F62" s="19" t="str">
        <x:v>Generell produktkod, se koder i LIN</x:v>
      </x:c>
      <x:c r="G62" s="19" t="str">
        <x:v>SG5/LIN/C212/71 40</x:v>
      </x:c>
      <x:c r="H62" s="19" t="str">
        <x:v>U §3.7</x:v>
      </x:c>
      <x:c r="I62" s="19" t="str">
        <x:v>56</x:v>
      </x:c>
      <x:c r="J62" s="19" t="str">
        <x:v>2026-10-01</x:v>
      </x:c>
      <x:c r="K62" s="19" t="str">
        <x:v>Källtabell avläst; ej runtimeverifierad</x:v>
      </x:c>
    </x:row>
    <x:row r="63" ht="36.599998474121094" customHeight="1">
      <x:c r="A63" s="19" t="str">
        <x:v>UF-metering_settlement-511-56</x:v>
      </x:c>
      <x:c r="B63" s="19" t="str">
        <x:v>511</x:v>
      </x:c>
      <x:c r="C63" s="19" t="str">
        <x:v>metering_settlement</x:v>
      </x:c>
      <x:c r="D63" s="19" t="str">
        <x:v>Tidsserieprodukt</x:v>
      </x:c>
      <x:c r="E63" s="19" t="str">
        <x:v>E30: -; E31: R; E66: -; S01: R; S05: R; S07: -</x:v>
      </x:c>
      <x:c r="F63" s="19" t="str">
        <x:v>Tidsserieprodukt Fem koder anges i enlighet med Svenska kraftnäts kodlista, fält 511a, 511b, 511c, 511d och 511e.</x:v>
      </x:c>
      <x:c r="G63" s="19" t="str">
        <x:v>SG5/PIA+1/C212/ 7140</x:v>
      </x:c>
      <x:c r="H63" s="19" t="str">
        <x:v>U §3.7</x:v>
      </x:c>
      <x:c r="I63" s="19" t="str">
        <x:v>56</x:v>
      </x:c>
      <x:c r="J63" s="19" t="str">
        <x:v>2026-10-01</x:v>
      </x:c>
      <x:c r="K63" s="19" t="str">
        <x:v>Källtabell avläst; ej runtimeverifierad</x:v>
      </x:c>
    </x:row>
    <x:row r="64" ht="50.400001525878906" customHeight="1">
      <x:c r="A64" s="19" t="str">
        <x:v>UF-metering_settlement-245-56</x:v>
      </x:c>
      <x:c r="B64" s="19" t="str">
        <x:v>245</x:v>
      </x:c>
      <x:c r="C64" s="19" t="str">
        <x:v>metering_settlement</x:v>
      </x:c>
      <x:c r="D64" s="19" t="str">
        <x:v>Leveransperiod</x:v>
      </x:c>
      <x:c r="E64" s="19" t="str">
        <x:v>E30: D; E31: R; E66: D; S01: R; S05: R; S07: R</x:v>
      </x:c>
      <x:c r="F64" s="19" t="str">
        <x:v>Aktuell period för transaktionen Anges i E30 och E66 om antal observationer &gt; 1, dvs när fler än en enskild mätarställning skickas.</x:v>
      </x:c>
      <x:c r="G64" s="19" t="str">
        <x:v>SG5/DTM+324/C 507/2380</x:v>
      </x:c>
      <x:c r="H64" s="19" t="str">
        <x:v>U §3.7</x:v>
      </x:c>
      <x:c r="I64" s="19" t="str">
        <x:v>56</x:v>
      </x:c>
      <x:c r="J64" s="19" t="str">
        <x:v>2026-10-01</x:v>
      </x:c>
      <x:c r="K64" s="19" t="str">
        <x:v>Källtabell avläst; ej runtimeverifierad</x:v>
      </x:c>
    </x:row>
    <x:row r="65" ht="36.599998474121094" customHeight="1">
      <x:c r="A65" s="19" t="str">
        <x:v>UF-metering_settlement-512-56</x:v>
      </x:c>
      <x:c r="B65" s="19" t="str">
        <x:v>512</x:v>
      </x:c>
      <x:c r="C65" s="19" t="str">
        <x:v>metering_settlement</x:v>
      </x:c>
      <x:c r="D65" s="19" t="str">
        <x:v>Registreringstidpunkt</x:v>
      </x:c>
      <x:c r="E65" s="19" t="str">
        <x:v>E30: R; E31: -; E66: R; S01: -; S05: -; S07: R</x:v>
      </x:c>
      <x:c r="F65" s="19" t="str">
        <x:v>Registreringstidpunkten för rapporterade värden.</x:v>
      </x:c>
      <x:c r="G65" s="19" t="str">
        <x:v>SG5/DTM+597/C 507/2380</x:v>
      </x:c>
      <x:c r="H65" s="19" t="str">
        <x:v>U §3.7</x:v>
      </x:c>
      <x:c r="I65" s="19" t="str">
        <x:v>56</x:v>
      </x:c>
      <x:c r="J65" s="19" t="str">
        <x:v>2026-10-01</x:v>
      </x:c>
      <x:c r="K65" s="19" t="str">
        <x:v>Källtabell avläst; ej runtimeverifierad</x:v>
      </x:c>
    </x:row>
    <x:row r="66" ht="36.599998474121094" customHeight="1">
      <x:c r="A66" s="19" t="str">
        <x:v>UF-metering_settlement-532-56</x:v>
      </x:c>
      <x:c r="B66" s="19" t="str">
        <x:v>532</x:v>
      </x:c>
      <x:c r="C66" s="19" t="str">
        <x:v>metering_settlement</x:v>
      </x:c>
      <x:c r="D66" s="19" t="str">
        <x:v>Senaste uppdateringstidpunkt</x:v>
      </x:c>
      <x:c r="E66" s="19" t="str">
        <x:v>E30: -; E31: R; E66: -; S01: R; S05: R; S07: -</x:v>
      </x:c>
      <x:c r="F66" s="19" t="str">
        <x:v>Senaste uppdateringstidpunkten för rapporterade värden.</x:v>
      </x:c>
      <x:c r="G66" s="19" t="str">
        <x:v>SG5/DTM+368/C 507/2380</x:v>
      </x:c>
      <x:c r="H66" s="19" t="str">
        <x:v>U §3.7</x:v>
      </x:c>
      <x:c r="I66" s="19" t="str">
        <x:v>56</x:v>
      </x:c>
      <x:c r="J66" s="19" t="str">
        <x:v>2026-10-01</x:v>
      </x:c>
      <x:c r="K66" s="19" t="str">
        <x:v>Källtabell avläst; ej runtimeverifierad</x:v>
      </x:c>
    </x:row>
    <x:row r="67" ht="36.599998474121094" customHeight="1">
      <x:c r="A67" s="19" t="str">
        <x:v>UF-metering_settlement-508-56</x:v>
      </x:c>
      <x:c r="B67" s="19" t="str">
        <x:v>508</x:v>
      </x:c>
      <x:c r="C67" s="19" t="str">
        <x:v>metering_settlement</x:v>
      </x:c>
      <x:c r="D67" s="19" t="str">
        <x:v>Upplösning</x:v>
      </x:c>
      <x:c r="E67" s="19" t="str">
        <x:v>E30: D; E31: R; E66: D; S01: R; S05: R; S07: R</x:v>
      </x:c>
      <x:c r="F67" s="19" t="str">
        <x:v>Upplösning för hela transaktionen, t ex månad, format enligt DTM. Anges i E30 och E66 när energivolymer skickas.</x:v>
      </x:c>
      <x:c r="G67" s="19" t="str">
        <x:v>SG5/DTM+354/C 507/2380</x:v>
      </x:c>
      <x:c r="H67" s="19" t="str">
        <x:v>U §3.7</x:v>
      </x:c>
      <x:c r="I67" s="19" t="str">
        <x:v>56</x:v>
      </x:c>
      <x:c r="J67" s="19" t="str">
        <x:v>2026-10-01</x:v>
      </x:c>
      <x:c r="K67" s="19" t="str">
        <x:v>Källtabell avläst; ej runtimeverifierad</x:v>
      </x:c>
    </x:row>
    <x:row r="68" ht="50.400001525878906" customHeight="1">
      <x:c r="A68" s="19" t="str">
        <x:v>UF-metering_settlement-223-57</x:v>
      </x:c>
      <x:c r="B68" s="19" t="str">
        <x:v>223</x:v>
      </x:c>
      <x:c r="C68" s="19" t="str">
        <x:v>metering_settlement</x:v>
      </x:c>
      <x:c r="D68" s="19" t="str">
        <x:v>Anledning till transaktionen</x:v>
      </x:c>
      <x:c r="E68" s="19" t="str">
        <x:v>E30: R; E31: R; E66: R; S01: R; S05: R; S07: R</x:v>
      </x:c>
      <x:c r="F68" s="19" t="str">
        <x:v>E30, E66, S07: se koder i SG5/STS E31, S01, S05: Settlement om avräkningsmetod = “Non- profiled” och Reconciliation om avräkningsmetod = “Profiled”.</x:v>
      </x:c>
      <x:c r="G68" s="19" t="str">
        <x:v>SG5/STS+7/C556/ 9013</x:v>
      </x:c>
      <x:c r="H68" s="19" t="str">
        <x:v>U §3.7</x:v>
      </x:c>
      <x:c r="I68" s="19" t="str">
        <x:v>57</x:v>
      </x:c>
      <x:c r="J68" s="19" t="str">
        <x:v>2026-10-01</x:v>
      </x:c>
      <x:c r="K68" s="19" t="str">
        <x:v>Källtabell avläst; ej runtimeverifierad</x:v>
      </x:c>
    </x:row>
    <x:row r="69" ht="50.400001525878906" customHeight="1">
      <x:c r="A69" s="19" t="str">
        <x:v>UF-metering_settlement-264-57</x:v>
      </x:c>
      <x:c r="B69" s="19" t="str">
        <x:v>264</x:v>
      </x:c>
      <x:c r="C69" s="19" t="str">
        <x:v>metering_settlement</x:v>
      </x:c>
      <x:c r="D69" s="19" t="str">
        <x:v>Enhet</x:v>
      </x:c>
      <x:c r="E69" s="19" t="str">
        <x:v>E30: -; E31: R; E66: R; S01: D; S05: D; S07: R</x:v>
      </x:c>
      <x:c r="F69" s="19" t="str">
        <x:v>Ange enhet för hela transaktionen. Används inte i S01 och S05 om enbart belopp skickas, användningen beror på aktuell tidsserieprodukt.</x:v>
      </x:c>
      <x:c r="G69" s="19" t="str">
        <x:v>SG5/MEA+AAZ/ C174/6411</x:v>
      </x:c>
      <x:c r="H69" s="19" t="str">
        <x:v>U §3.7</x:v>
      </x:c>
      <x:c r="I69" s="19" t="str">
        <x:v>57</x:v>
      </x:c>
      <x:c r="J69" s="19" t="str">
        <x:v>2026-10-01</x:v>
      </x:c>
      <x:c r="K69" s="19" t="str">
        <x:v>Källtabell avläst; ej runtimeverifierad</x:v>
      </x:c>
    </x:row>
    <x:row r="70" ht="36.599998474121094" customHeight="1">
      <x:c r="A70" s="19" t="str">
        <x:v>UF-metering_settlement-226-57</x:v>
      </x:c>
      <x:c r="B70" s="19" t="str">
        <x:v>226</x:v>
      </x:c>
      <x:c r="C70" s="19" t="str">
        <x:v>metering_settlement</x:v>
      </x:c>
      <x:c r="D70" s="19" t="str">
        <x:v>Referens till PRODAT- ärendereferens</x:v>
      </x:c>
      <x:c r="E70" s="19" t="str">
        <x:v>E30: -; E31: -; E66: D; S01: -; S05: -; S07: -</x:v>
      </x:c>
      <x:c r="F70" s="19" t="str">
        <x:v>Fylls i när transaktionen hör ihop med ett PRODAT-ärende för icke dygnsavräknade anläggningar. Se vidare kapitel 3.6.12.</x:v>
      </x:c>
      <x:c r="G70" s="19" t="str">
        <x:v>SG6/RFF+TN/C5 06/1154</x:v>
      </x:c>
      <x:c r="H70" s="19" t="str">
        <x:v>U §3.7</x:v>
      </x:c>
      <x:c r="I70" s="19" t="str">
        <x:v>57</x:v>
      </x:c>
      <x:c r="J70" s="19" t="str">
        <x:v>2026-10-01</x:v>
      </x:c>
      <x:c r="K70" s="19" t="str">
        <x:v>Källtabell avläst; ej runtimeverifierad</x:v>
      </x:c>
    </x:row>
    <x:row r="71" ht="36.599998474121094" customHeight="1">
      <x:c r="A71" s="19" t="str">
        <x:v>UF-metering_settlement-254-57</x:v>
      </x:c>
      <x:c r="B71" s="19" t="str">
        <x:v>254</x:v>
      </x:c>
      <x:c r="C71" s="19" t="str">
        <x:v>metering_settlement</x:v>
      </x:c>
      <x:c r="D71" s="19" t="str">
        <x:v>Avräkningsmetod</x:v>
      </x:c>
      <x:c r="E71" s="19" t="str">
        <x:v>E30: -; E31: R; E66: -; S01: D; S05: D; S07: -</x:v>
      </x:c>
      <x:c r="F71" s="19" t="str">
        <x:v>”Profiled” eller ”Non-profiled”, användningen i S01 och S05 beror på aktuell tidsserieprodukt.</x:v>
      </x:c>
      <x:c r="G71" s="19" t="str">
        <x:v>SG7/CAV/C889/7 111 under SG7/CCI+++E02</x:v>
      </x:c>
      <x:c r="H71" s="19" t="str">
        <x:v>U §3.7</x:v>
      </x:c>
      <x:c r="I71" s="19" t="str">
        <x:v>57</x:v>
      </x:c>
      <x:c r="J71" s="19" t="str">
        <x:v>2026-10-01</x:v>
      </x:c>
      <x:c r="K71" s="19" t="str">
        <x:v>Källtabell avläst; ej runtimeverifierad</x:v>
      </x:c>
    </x:row>
    <x:row r="72" ht="50.400001525878906" customHeight="1">
      <x:c r="A72" s="19" t="str">
        <x:v>UF-metering_settlement-507a-57</x:v>
      </x:c>
      <x:c r="B72" s="19" t="str">
        <x:v>507a</x:v>
      </x:c>
      <x:c r="C72" s="19" t="str">
        <x:v>metering_settlement</x:v>
      </x:c>
      <x:c r="D72" s="19" t="str">
        <x:v>Antal mätpunkter</x:v>
      </x:c>
      <x:c r="E72" s="19" t="str">
        <x:v>E30: -; E31: D; E66: -; S01: -; S05: D; S07: -</x:v>
      </x:c>
      <x:c r="F72" s="19" t="str">
        <x:v>Ange default antal mätpunkter. Används vid rapportering av aggregerade serier, användningen beror på aktuell tidsserieprodukt (PC+PT). Se vidare beskrivning i CAV-segmentet (SG7).</x:v>
      </x:c>
      <x:c r="G72" s="19" t="str">
        <x:v>SG7/CAV/C889/7 110 under SG7/CCI+++Z01</x:v>
      </x:c>
      <x:c r="H72" s="19" t="str">
        <x:v>U §3.7</x:v>
      </x:c>
      <x:c r="I72" s="19" t="str">
        <x:v>57</x:v>
      </x:c>
      <x:c r="J72" s="19" t="str">
        <x:v>2026-10-01</x:v>
      </x:c>
      <x:c r="K72" s="19" t="str">
        <x:v>Källtabell avläst; ej runtimeverifierad</x:v>
      </x:c>
    </x:row>
    <x:row r="73" ht="36.599998474121094" customHeight="1">
      <x:c r="A73" s="19" t="str">
        <x:v>UF-metering_settlement-513-57</x:v>
      </x:c>
      <x:c r="B73" s="19" t="str">
        <x:v>513</x:v>
      </x:c>
      <x:c r="C73" s="19" t="str">
        <x:v>metering_settlement</x:v>
      </x:c>
      <x:c r="D73" s="19" t="str">
        <x:v>Typ av anläggning(ar)</x:v>
      </x:c>
      <x:c r="E73" s="19" t="str">
        <x:v>E30: -; E31: R; E66: R; S01: -; S05: -; S07: R</x:v>
      </x:c>
      <x:c r="F73" s="19" t="str">
        <x:v>”Consumption”, ”Production” eller ”Exchange”</x:v>
      </x:c>
      <x:c r="G73" s="19" t="str">
        <x:v>SG7/CAV/C889/7 111 under SG7/CCI+++E12</x:v>
      </x:c>
      <x:c r="H73" s="19" t="str">
        <x:v>U §3.7</x:v>
      </x:c>
      <x:c r="I73" s="19" t="str">
        <x:v>57</x:v>
      </x:c>
      <x:c r="J73" s="19" t="str">
        <x:v>2026-10-01</x:v>
      </x:c>
      <x:c r="K73" s="19" t="str">
        <x:v>Källtabell avläst; ej runtimeverifierad</x:v>
      </x:c>
    </x:row>
    <x:row r="74" ht="36.599998474121094" customHeight="1">
      <x:c r="A74" s="19" t="str">
        <x:v>UF-metering_settlement-514-57</x:v>
      </x:c>
      <x:c r="B74" s="19" t="str">
        <x:v>514</x:v>
      </x:c>
      <x:c r="C74" s="19" t="str">
        <x:v>metering_settlement</x:v>
      </x:c>
      <x:c r="D74" s="19" t="str">
        <x:v>Observationsnr</x:v>
      </x:c>
      <x:c r="E74" s="19" t="str">
        <x:v>E30: R; E31: R; E66: R; S01: R; S05: R; S07: R</x:v>
      </x:c>
      <x:c r="F74" s="19" t="str">
        <x:v>Löpnr/sekvens för resp detaljrad, starta normalt alltid på 1 och räkna upp med 1 för varje detaljrad (observation).</x:v>
      </x:c>
      <x:c r="G74" s="19" t="str">
        <x:v>SG8/SEQ/C286/10 50</x:v>
      </x:c>
      <x:c r="H74" s="19" t="str">
        <x:v>U §3.7</x:v>
      </x:c>
      <x:c r="I74" s="19" t="str">
        <x:v>57</x:v>
      </x:c>
      <x:c r="J74" s="19" t="str">
        <x:v>2026-10-01</x:v>
      </x:c>
      <x:c r="K74" s="19" t="str">
        <x:v>Källtabell avläst; ej runtimeverifierad</x:v>
      </x:c>
    </x:row>
    <x:row r="75" ht="36.599998474121094" customHeight="1">
      <x:c r="A75" s="19" t="str">
        <x:v>UF-metering_settlement-527-57</x:v>
      </x:c>
      <x:c r="B75" s="19" t="str">
        <x:v>527</x:v>
      </x:c>
      <x:c r="C75" s="19" t="str">
        <x:v>metering_settlement</x:v>
      </x:c>
      <x:c r="D75" s="19" t="str">
        <x:v>RegisterId</x:v>
      </x:c>
      <x:c r="E75" s="19" t="str">
        <x:v>E30: D; E31: -; E66: D; S01: -; S05: -; S07: D</x:v>
      </x:c>
      <x:c r="F75" s="19" t="str">
        <x:v>RegisterId</x:v>
      </x:c>
      <x:c r="G75" s="19" t="str">
        <x:v>SG8/RFF+AES/C 506/1154</x:v>
      </x:c>
      <x:c r="H75" s="19" t="str">
        <x:v>U §3.7</x:v>
      </x:c>
      <x:c r="I75" s="19" t="str">
        <x:v>57</x:v>
      </x:c>
      <x:c r="J75" s="19" t="str">
        <x:v>2026-10-01</x:v>
      </x:c>
      <x:c r="K75" s="19" t="str">
        <x:v>Källtabell avläst; ej runtimeverifierad</x:v>
      </x:c>
    </x:row>
    <x:row r="76" ht="78" customHeight="1">
      <x:c r="A76" s="19" t="str">
        <x:v>UF-metering_settlement-224-58</x:v>
      </x:c>
      <x:c r="B76" s="19" t="str">
        <x:v>224</x:v>
      </x:c>
      <x:c r="C76" s="19" t="str">
        <x:v>metering_settlement</x:v>
      </x:c>
      <x:c r="D76" s="19" t="str">
        <x:v>Mätarnummer</x:v>
      </x:c>
      <x:c r="E76" s="19" t="str">
        <x:v>E30: D; E31: -; E66: D; S01: -; S05: -; S07: O</x:v>
      </x:c>
      <x:c r="F76" s="19" t="str">
        <x:v>Anges endast en gång per register (räkneverk). Anges då för den första observationen med mätarställningar. Anges alltid i E30 och E66 då mätarställningar skickas. Frivilligt i S07. Anges inte i E66 med maxeffektvärden (Normalt ett GIAI-nummer, se bilaga 7).</x:v>
      </x:c>
      <x:c r="G76" s="19" t="str">
        <x:v>SG8/RFF+MGaltS E/ C506/1154</x:v>
      </x:c>
      <x:c r="H76" s="19" t="str">
        <x:v>U §3.7</x:v>
      </x:c>
      <x:c r="I76" s="19" t="str">
        <x:v>58</x:v>
      </x:c>
      <x:c r="J76" s="19" t="str">
        <x:v>2026-10-01</x:v>
      </x:c>
      <x:c r="K76" s="19" t="str">
        <x:v>Källtabell avläst; ej runtimeverifierad</x:v>
      </x:c>
    </x:row>
    <x:row r="77" ht="64.19999694824219" customHeight="1">
      <x:c r="A77" s="19" t="str">
        <x:v>UF-metering_settlement-522-58</x:v>
      </x:c>
      <x:c r="B77" s="19" t="str">
        <x:v>522</x:v>
      </x:c>
      <x:c r="C77" s="19" t="str">
        <x:v>metering_settlement</x:v>
      </x:c>
      <x:c r="D77" s="19" t="str">
        <x:v>Belopp</x:v>
      </x:c>
      <x:c r="E77" s="19" t="str">
        <x:v>E30: -; E31: -; E66: -; S01: D; S05: D; S07: -</x:v>
      </x:c>
      <x:c r="F77" s="19" t="str">
        <x:v>Belopp, villkor om detta fält ska skickas eller inte är beroende på aktuell tidsserieprodukt. Notera att flera belopp (med olika valutor) är möjliga att skicka för en och samma tidsserie.</x:v>
      </x:c>
      <x:c r="G77" s="19" t="str">
        <x:v>SG8/MOA+9/C51 6/5004</x:v>
      </x:c>
      <x:c r="H77" s="19" t="str">
        <x:v>U §3.7</x:v>
      </x:c>
      <x:c r="I77" s="19" t="str">
        <x:v>58</x:v>
      </x:c>
      <x:c r="J77" s="19" t="str">
        <x:v>2026-10-01</x:v>
      </x:c>
      <x:c r="K77" s="19" t="str">
        <x:v>Källtabell avläst; ej runtimeverifierad</x:v>
      </x:c>
    </x:row>
    <x:row r="78" ht="36.599998474121094" customHeight="1">
      <x:c r="A78" s="19" t="str">
        <x:v>UF-metering_settlement-269a-58</x:v>
      </x:c>
      <x:c r="B78" s="19" t="str">
        <x:v>269a</x:v>
      </x:c>
      <x:c r="C78" s="19" t="str">
        <x:v>metering_settlement</x:v>
      </x:c>
      <x:c r="D78" s="19" t="str">
        <x:v>Valuta</x:v>
      </x:c>
      <x:c r="E78" s="19" t="str">
        <x:v>E30: -; E31: -; E66: -; S01: D; S05: D; S07: -</x:v>
      </x:c>
      <x:c r="F78" s="19" t="str">
        <x:v>Valutakod för fält 522, enligt ISO</x:v>
      </x:c>
      <x:c r="G78" s="19" t="str">
        <x:v>SG8/MOA+9/C51 6/6345</x:v>
      </x:c>
      <x:c r="H78" s="19" t="str">
        <x:v>U §3.7</x:v>
      </x:c>
      <x:c r="I78" s="19" t="str">
        <x:v>58</x:v>
      </x:c>
      <x:c r="J78" s="19" t="str">
        <x:v>2026-10-01</x:v>
      </x:c>
      <x:c r="K78" s="19" t="str">
        <x:v>Källtabell avläst; ej runtimeverifierad</x:v>
      </x:c>
    </x:row>
    <x:row r="79" ht="50.400001525878906" customHeight="1">
      <x:c r="A79" s="19" t="str">
        <x:v>UF-metering_settlement-523-58</x:v>
      </x:c>
      <x:c r="B79" s="19" t="str">
        <x:v>523</x:v>
      </x:c>
      <x:c r="C79" s="19" t="str">
        <x:v>metering_settlement</x:v>
      </x:c>
      <x:c r="D79" s="19" t="str">
        <x:v>Pris</x:v>
      </x:c>
      <x:c r="E79" s="19" t="str">
        <x:v>E30: -; E31: -; E66: -; S01: D; S05: D; S07: -</x:v>
      </x:c>
      <x:c r="F79" s="19" t="str">
        <x:v>Pris, villkor om detta fält ska skickas eller inte är beroende på aktuell tidsserieprodukt. Notera att flera priser (med olika valutor) är möjliga att skicka för en och samma tidsserie.</x:v>
      </x:c>
      <x:c r="G79" s="19" t="str">
        <x:v>SG10/PRI/C509/5 118</x:v>
      </x:c>
      <x:c r="H79" s="19" t="str">
        <x:v>U §3.7</x:v>
      </x:c>
      <x:c r="I79" s="19" t="str">
        <x:v>58</x:v>
      </x:c>
      <x:c r="J79" s="19" t="str">
        <x:v>2026-10-01</x:v>
      </x:c>
      <x:c r="K79" s="19" t="str">
        <x:v>Källtabell avläst; ej runtimeverifierad</x:v>
      </x:c>
    </x:row>
    <x:row r="80" ht="36.599998474121094" customHeight="1">
      <x:c r="A80" s="19" t="str">
        <x:v>UF-metering_settlement-269b-58</x:v>
      </x:c>
      <x:c r="B80" s="19" t="str">
        <x:v>269b</x:v>
      </x:c>
      <x:c r="C80" s="19" t="str">
        <x:v>metering_settlement</x:v>
      </x:c>
      <x:c r="D80" s="19" t="str">
        <x:v>Valuta</x:v>
      </x:c>
      <x:c r="E80" s="19" t="str">
        <x:v>E30: -; E31: -; E66: -; S01: D; S05: D; S07: -</x:v>
      </x:c>
      <x:c r="F80" s="19" t="str">
        <x:v>Valutakod för fält 523, enligt ISO</x:v>
      </x:c>
      <x:c r="G80" s="19" t="str">
        <x:v>SG10/CUX+2/634 5</x:v>
      </x:c>
      <x:c r="H80" s="19" t="str">
        <x:v>U §3.7</x:v>
      </x:c>
      <x:c r="I80" s="19" t="str">
        <x:v>58</x:v>
      </x:c>
      <x:c r="J80" s="19" t="str">
        <x:v>2026-10-01</x:v>
      </x:c>
      <x:c r="K80" s="19" t="str">
        <x:v>Källtabell avläst; ej runtimeverifierad</x:v>
      </x:c>
    </x:row>
    <x:row r="81" ht="36.599998474121094" customHeight="1">
      <x:c r="A81" s="19" t="str">
        <x:v>UF-meter_stands-517-59</x:v>
      </x:c>
      <x:c r="B81" s="19" t="str">
        <x:v>517</x:v>
      </x:c>
      <x:c r="C81" s="19" t="str">
        <x:v>meter_stands</x:v>
      </x:c>
      <x:c r="D81" s="19" t="str">
        <x:v>Mätarställning</x:v>
      </x:c>
      <x:c r="E81" s="19" t="str">
        <x:v>E30: D; E66: D; S07: D</x:v>
      </x:c>
      <x:c r="F81" s="19" t="str">
        <x:v>Mätarställning, saknas mätarställning anges ”NULL” i fältet. Anges om mätarställningar skickas.</x:v>
      </x:c>
      <x:c r="G81" s="19" t="str">
        <x:v>SG11/QTY+220/C186/606 0</x:v>
      </x:c>
      <x:c r="H81" s="19" t="str">
        <x:v>U §3.7</x:v>
      </x:c>
      <x:c r="I81" s="19" t="str">
        <x:v>59</x:v>
      </x:c>
      <x:c r="J81" s="19" t="str">
        <x:v>2026-10-01</x:v>
      </x:c>
      <x:c r="K81" s="19" t="str">
        <x:v>Källtabell avläst; ej runtimeverifierad</x:v>
      </x:c>
    </x:row>
    <x:row r="82" ht="36.599998474121094" customHeight="1">
      <x:c r="A82" s="19" t="str">
        <x:v>UF-meter_stands-530a-59</x:v>
      </x:c>
      <x:c r="B82" s="19" t="str">
        <x:v>530a</x:v>
      </x:c>
      <x:c r="C82" s="19" t="str">
        <x:v>meter_stands</x:v>
      </x:c>
      <x:c r="D82" s="19" t="str">
        <x:v>Datum för mätar- ställning</x:v>
      </x:c>
      <x:c r="E82" s="19" t="str">
        <x:v>E30: D; E66: D; S07: D</x:v>
      </x:c>
      <x:c r="F82" s="19" t="str">
        <x:v>Tidpunkt för mätarregistrering. Anges om mätarställningar skickas.</x:v>
      </x:c>
      <x:c r="G82" s="19" t="str">
        <x:v>SG11/DTM+597/C507/23 80</x:v>
      </x:c>
      <x:c r="H82" s="19" t="str">
        <x:v>U §3.7</x:v>
      </x:c>
      <x:c r="I82" s="19" t="str">
        <x:v>59</x:v>
      </x:c>
      <x:c r="J82" s="19" t="str">
        <x:v>2026-10-01</x:v>
      </x:c>
      <x:c r="K82" s="19" t="str">
        <x:v>Källtabell avläst; ej runtimeverifierad</x:v>
      </x:c>
    </x:row>
    <x:row r="83" ht="50.400001525878906" customHeight="1">
      <x:c r="A83" s="19" t="str">
        <x:v>UF-meter_stands-520-59</x:v>
      </x:c>
      <x:c r="B83" s="19" t="str">
        <x:v>520</x:v>
      </x:c>
      <x:c r="C83" s="19" t="str">
        <x:v>meter_stands</x:v>
      </x:c>
      <x:c r="D83" s="19" t="str">
        <x:v>Kvantitetskvalitet</x:v>
      </x:c>
      <x:c r="E83" s="19" t="str">
        <x:v>E30: D; E66: -; S07: -</x:v>
      </x:c>
      <x:c r="F83" s="19" t="str">
        <x:v>Mätaravläsningskvalitet. Obligatoriskt om mätaravläsningsvärdet (fält 517) har lägre kvalitet än godkänt. Se koder i SG11/STS.</x:v>
      </x:c>
      <x:c r="G83" s="19" t="str">
        <x:v>SG11/STS+8/C555/4405</x:v>
      </x:c>
      <x:c r="H83" s="19" t="str">
        <x:v>U §3.7</x:v>
      </x:c>
      <x:c r="I83" s="19" t="str">
        <x:v>59</x:v>
      </x:c>
      <x:c r="J83" s="19" t="str">
        <x:v>2026-10-01</x:v>
      </x:c>
      <x:c r="K83" s="19" t="str">
        <x:v>Källtabell avläst; ej runtimeverifierad</x:v>
      </x:c>
    </x:row>
    <x:row r="84" ht="36.599998474121094" customHeight="1">
      <x:c r="A84" s="19" t="str">
        <x:v>UF-meter_stands-309-59</x:v>
      </x:c>
      <x:c r="B84" s="19" t="str">
        <x:v>309</x:v>
      </x:c>
      <x:c r="C84" s="19" t="str">
        <x:v>meter_stands</x:v>
      </x:c>
      <x:c r="D84" s="19" t="str">
        <x:v>Mätaravläsare</x:v>
      </x:c>
      <x:c r="E84" s="19" t="str">
        <x:v>E30: -; E66: D; S07: D</x:v>
      </x:c>
      <x:c r="F84" s="19" t="str">
        <x:v>Mätaravläsare Anges om mätarställningar skickas. Se koder i SG12/CAV</x:v>
      </x:c>
      <x:c r="G84" s="19" t="str">
        <x:v>SG12/CAV/C889/7111 under SG12/CCI+++E22</x:v>
      </x:c>
      <x:c r="H84" s="19" t="str">
        <x:v>U §3.7</x:v>
      </x:c>
      <x:c r="I84" s="19" t="str">
        <x:v>59</x:v>
      </x:c>
      <x:c r="J84" s="19" t="str">
        <x:v>2026-10-01</x:v>
      </x:c>
      <x:c r="K84" s="19" t="str">
        <x:v>Källtabell avläst; ej runtimeverifierad</x:v>
      </x:c>
    </x:row>
    <x:row r="85" ht="32" customHeight="1">
      <x:c r="A85" s="19" t="str">
        <x:v>UF-quantity-516-59</x:v>
      </x:c>
      <x:c r="B85" s="19" t="str">
        <x:v>516</x:v>
      </x:c>
      <x:c r="C85" s="19" t="str">
        <x:v>quantity</x:v>
      </x:c>
      <x:c r="D85" s="19" t="str">
        <x:v>Uppnådd periodisk kvantitet</x:v>
      </x:c>
      <x:c r="E85" s="19" t="str">
        <x:v>E30: D; E66: D; S07: D</x:v>
      </x:c>
      <x:c r="F85" s="19" t="str">
        <x:v>Uppnådd energimängd. Anges om energimängd skickas.</x:v>
      </x:c>
      <x:c r="G85" s="19" t="str">
        <x:v>SG11/QTY+136/C186/60 60</x:v>
      </x:c>
      <x:c r="H85" s="19" t="str">
        <x:v>U §3.7</x:v>
      </x:c>
      <x:c r="I85" s="19" t="str">
        <x:v>59</x:v>
      </x:c>
      <x:c r="J85" s="19" t="str">
        <x:v>2026-10-01</x:v>
      </x:c>
      <x:c r="K85" s="19" t="str">
        <x:v>Källtabell avläst; ej runtimeverifierad</x:v>
      </x:c>
    </x:row>
    <x:row r="86" ht="36.599998474121094" customHeight="1">
      <x:c r="A86" s="19" t="str">
        <x:v>UF-quantity-520-59</x:v>
      </x:c>
      <x:c r="B86" s="19" t="str">
        <x:v>520</x:v>
      </x:c>
      <x:c r="C86" s="19" t="str">
        <x:v>quantity</x:v>
      </x:c>
      <x:c r="D86" s="19" t="str">
        <x:v>Kvantitetskvalitet</x:v>
      </x:c>
      <x:c r="E86" s="19" t="str">
        <x:v>E30: D; E66: D; S07: D</x:v>
      </x:c>
      <x:c r="F86" s="19" t="str">
        <x:v>Mätaravläsningskvalitet. Obligatoriskt om värde i fält 516 har lägre kvalitet än godkänt. Se koder i SG11/STS.</x:v>
      </x:c>
      <x:c r="G86" s="19" t="str">
        <x:v>SG11/STS+8/C555/4405</x:v>
      </x:c>
      <x:c r="H86" s="19" t="str">
        <x:v>U §3.7</x:v>
      </x:c>
      <x:c r="I86" s="19" t="str">
        <x:v>59</x:v>
      </x:c>
      <x:c r="J86" s="19" t="str">
        <x:v>2026-10-01</x:v>
      </x:c>
      <x:c r="K86" s="19" t="str">
        <x:v>Källtabell avläst; ej runtimeverifierad</x:v>
      </x:c>
    </x:row>
    <x:row r="87" ht="32" customHeight="1">
      <x:c r="A87" s="19" t="str">
        <x:v>UF-maximum_demand-521-60</x:v>
      </x:c>
      <x:c r="B87" s="19" t="str">
        <x:v>521</x:v>
      </x:c>
      <x:c r="C87" s="19" t="str">
        <x:v>maximum_demand</x:v>
      </x:c>
      <x:c r="D87" s="19" t="str">
        <x:v>Maxeffektvärde</x:v>
      </x:c>
      <x:c r="E87" s="19" t="str">
        <x:v>E30: -; E66: D; S07: -</x:v>
      </x:c>
      <x:c r="F87" s="19" t="str">
        <x:v>Maxeffektvärde (i kilowatt) Anges om maxeffektvärden skickas.</x:v>
      </x:c>
      <x:c r="G87" s="19" t="str">
        <x:v>SG11/QTY+42/C186/606 0</x:v>
      </x:c>
      <x:c r="H87" s="19" t="str">
        <x:v>U §3.7</x:v>
      </x:c>
      <x:c r="I87" s="19" t="str">
        <x:v>60</x:v>
      </x:c>
      <x:c r="J87" s="19" t="str">
        <x:v>2026-10-01</x:v>
      </x:c>
      <x:c r="K87" s="19" t="str">
        <x:v>Källtabell avläst; ej runtimeverifierad</x:v>
      </x:c>
    </x:row>
    <x:row r="88" ht="50.400001525878906" customHeight="1">
      <x:c r="A88" s="19" t="str">
        <x:v>UF-maximum_demand-530b-60</x:v>
      </x:c>
      <x:c r="B88" s="19" t="str">
        <x:v>530b</x:v>
      </x:c>
      <x:c r="C88" s="19" t="str">
        <x:v>maximum_demand</x:v>
      </x:c>
      <x:c r="D88" s="19" t="str">
        <x:v>Tidpunkt för effektvärde</x:v>
      </x:c>
      <x:c r="E88" s="19" t="str">
        <x:v>E30: -; E66: D; S07: -</x:v>
      </x:c>
      <x:c r="F88" s="19" t="str">
        <x:v>Används när effektvärdet avser en specifik tidpunkt. Inte om effektvärdet uttrycks som maxeffektvärde över hela leveransperioden.</x:v>
      </x:c>
      <x:c r="G88" s="19" t="str">
        <x:v>SG11/DTM+597/C507/23 80</x:v>
      </x:c>
      <x:c r="H88" s="19" t="str">
        <x:v>U §3.7</x:v>
      </x:c>
      <x:c r="I88" s="19" t="str">
        <x:v>60</x:v>
      </x:c>
      <x:c r="J88" s="19" t="str">
        <x:v>2026-10-01</x:v>
      </x:c>
      <x:c r="K88" s="19" t="str">
        <x:v>Källtabell avläst; ej runtimeverifierad</x:v>
      </x:c>
    </x:row>
    <x:row r="89" ht="36.599998474121094" customHeight="1">
      <x:c r="A89" s="19" t="str">
        <x:v>UF-maximum_demand-520-60</x:v>
      </x:c>
      <x:c r="B89" s="19" t="str">
        <x:v>520</x:v>
      </x:c>
      <x:c r="C89" s="19" t="str">
        <x:v>maximum_demand</x:v>
      </x:c>
      <x:c r="D89" s="19" t="str">
        <x:v>Kvantitetskvalitet</x:v>
      </x:c>
      <x:c r="E89" s="19" t="str">
        <x:v>E30: -; E66: D; S07: -</x:v>
      </x:c>
      <x:c r="F89" s="19" t="str">
        <x:v>Mätaravläsningskvalitet. Obligatoriskt om värde i fält 521 har lägre kvalitet än godkänt. Se koder i SG11/STS.</x:v>
      </x:c>
      <x:c r="G89" s="19" t="str">
        <x:v>SG11/STS+8/C555/4405</x:v>
      </x:c>
      <x:c r="H89" s="19" t="str">
        <x:v>U §3.7</x:v>
      </x:c>
      <x:c r="I89" s="19" t="str">
        <x:v>60</x:v>
      </x:c>
      <x:c r="J89" s="19" t="str">
        <x:v>2026-10-01</x:v>
      </x:c>
      <x:c r="K89" s="19" t="str">
        <x:v>Källtabell avläst; ej runtimeverifierad</x:v>
      </x:c>
    </x:row>
    <x:row r="90" ht="36.599998474121094" customHeight="1">
      <x:c r="A90" s="19" t="str">
        <x:v>UF-maximum_demand-259-60</x:v>
      </x:c>
      <x:c r="B90" s="19" t="str">
        <x:v>259</x:v>
      </x:c>
      <x:c r="C90" s="19" t="str">
        <x:v>maximum_demand</x:v>
      </x:c>
      <x:c r="D90" s="19" t="str">
        <x:v>Tidsintervall</x:v>
      </x:c>
      <x:c r="E90" s="19" t="str">
        <x:v>E30: -; E66: D; S07: -</x:v>
      </x:c>
      <x:c r="F90" s="19" t="str">
        <x:v>Tidsintervall som anger att effektvärdet är ett maxvärde. Giltig kod: E12 (Peak) Anges om maxeffektvärden skickas.</x:v>
      </x:c>
      <x:c r="G90" s="19" t="str">
        <x:v>SG12/CAV/C889/7111 under SG12/CCI+++E07</x:v>
      </x:c>
      <x:c r="H90" s="19" t="str">
        <x:v>U §3.7</x:v>
      </x:c>
      <x:c r="I90" s="19" t="str">
        <x:v>60</x:v>
      </x:c>
      <x:c r="J90" s="19" t="str">
        <x:v>2026-10-01</x:v>
      </x:c>
      <x:c r="K90" s="19" t="str">
        <x:v>Källtabell avläst; ej runtimeverifierad</x:v>
      </x:c>
    </x:row>
    <x:row r="91" ht="36.599998474121094" customHeight="1">
      <x:c r="A91" s="19" t="str">
        <x:v>UF-aggregate_observations-516-61</x:v>
      </x:c>
      <x:c r="B91" s="19" t="str">
        <x:v>516</x:v>
      </x:c>
      <x:c r="C91" s="19" t="str">
        <x:v>aggregate_observations</x:v>
      </x:c>
      <x:c r="D91" s="19" t="str">
        <x:v>Uppnådd periodisk kvantitet</x:v>
      </x:c>
      <x:c r="E91" s="19" t="str">
        <x:v>E31: R; S01: R; S05: R</x:v>
      </x:c>
      <x:c r="F91" s="19" t="str">
        <x:v>Kvantitet</x:v>
      </x:c>
      <x:c r="G91" s="19" t="str">
        <x:v>SG11/QTY+136/C186/6 060</x:v>
      </x:c>
      <x:c r="H91" s="19" t="str">
        <x:v>U §3.7</x:v>
      </x:c>
      <x:c r="I91" s="19" t="str">
        <x:v>61</x:v>
      </x:c>
      <x:c r="J91" s="19" t="str">
        <x:v>2026-10-01</x:v>
      </x:c>
      <x:c r="K91" s="19" t="str">
        <x:v>Källtabell avläst; ej runtimeverifierad</x:v>
      </x:c>
    </x:row>
    <x:row r="92" ht="36.599998474121094" customHeight="1">
      <x:c r="A92" s="19" t="str">
        <x:v>UF-aggregate_observations-520-61</x:v>
      </x:c>
      <x:c r="B92" s="19" t="str">
        <x:v>520</x:v>
      </x:c>
      <x:c r="C92" s="19" t="str">
        <x:v>aggregate_observations</x:v>
      </x:c>
      <x:c r="D92" s="19" t="str">
        <x:v>Kvantitetskvalitet</x:v>
      </x:c>
      <x:c r="E92" s="19" t="str">
        <x:v>E31: D; S01: D; S05: D</x:v>
      </x:c>
      <x:c r="F92" s="19" t="str">
        <x:v>Obligatoriskt om värde i fält 516 har lägre kvalitet än godkänt. Används ej för andelstal. Se koder i SG11/STS.</x:v>
      </x:c>
      <x:c r="G92" s="19" t="str">
        <x:v>SG11/STS+8/C555/440 5</x:v>
      </x:c>
      <x:c r="H92" s="19" t="str">
        <x:v>U §3.7</x:v>
      </x:c>
      <x:c r="I92" s="19" t="str">
        <x:v>61</x:v>
      </x:c>
      <x:c r="J92" s="19" t="str">
        <x:v>2026-10-01</x:v>
      </x:c>
      <x:c r="K92" s="19" t="str">
        <x:v>Källtabell avläst; ej runtimeverifierad</x:v>
      </x:c>
    </x:row>
    <x:row r="93" ht="78" customHeight="1">
      <x:c r="A93" s="19" t="str">
        <x:v>UF-aggregate_observations-507b-61</x:v>
      </x:c>
      <x:c r="B93" s="19" t="str">
        <x:v>507b</x:v>
      </x:c>
      <x:c r="C93" s="19" t="str">
        <x:v>aggregate_observations</x:v>
      </x:c>
      <x:c r="D93" s="19" t="str">
        <x:v>Avvikande antal mätpunkter</x:v>
      </x:c>
      <x:c r="E93" s="19" t="str">
        <x:v>E31: D; S01: -; S05: D</x:v>
      </x:c>
      <x:c r="F93" s="19" t="str">
        <x:v>Anger faktiska antalet mätpunkter, anges om antal mätpunker avviker från ”default”-antal mätpunkter på transaktionsnivån (fält 507a). Används inte för aggregerade högupplösta mätvärden. Om fältet kan förekomma beror även på aktuell tidsserieprodukt (PC och PT).</x:v>
      </x:c>
      <x:c r="G93" s="19" t="str">
        <x:v>SG12/CAV/C889/7110 under SG12/CCI+++Z01</x:v>
      </x:c>
      <x:c r="H93" s="19" t="str">
        <x:v>U §3.7</x:v>
      </x:c>
      <x:c r="I93" s="19" t="str">
        <x:v>61</x:v>
      </x:c>
      <x:c r="J93" s="19" t="str">
        <x:v>2026-10-01</x:v>
      </x:c>
      <x:c r="K93" s="19" t="str">
        <x:v>Källtabell avläst; ej runtimeverifierad</x:v>
      </x:c>
    </x:row>
    <x:row r="94" ht="36.599998474121094" customHeight="1">
      <x:c r="A94" s="19" t="str">
        <x:v>UF-request-311-62</x:v>
      </x:c>
      <x:c r="B94" s="19" t="str">
        <x:v>311</x:v>
      </x:c>
      <x:c r="C94" s="19" t="str">
        <x:v>request</x:v>
      </x:c>
      <x:c r="D94" s="19" t="str">
        <x:v>Application Reference</x:v>
      </x:c>
      <x:c r="E94" s="19" t="str">
        <x:v>E72: R; E73: R; E74: R; S06: R</x:v>
      </x:c>
      <x:c r="F94" s="19" t="str">
        <x:v>Ska vara den kod som gäller för det begärda meddelandet, se kapitel 3.7.1 och 3.7.2 ovan.</x:v>
      </x:c>
      <x:c r="G94" s="19" t="str">
        <x:v>UNB/0026</x:v>
      </x:c>
      <x:c r="H94" s="19" t="str">
        <x:v>U §3.7</x:v>
      </x:c>
      <x:c r="I94" s="19" t="str">
        <x:v>62</x:v>
      </x:c>
      <x:c r="J94" s="19" t="str">
        <x:v>2026-10-01</x:v>
      </x:c>
      <x:c r="K94" s="19" t="str">
        <x:v>Källtabell avläst; ej runtimeverifierad</x:v>
      </x:c>
    </x:row>
    <x:row r="95" ht="32" customHeight="1">
      <x:c r="A95" s="19" t="str">
        <x:v>UF-request-312-62</x:v>
      </x:c>
      <x:c r="B95" s="19" t="str">
        <x:v>312</x:v>
      </x:c>
      <x:c r="C95" s="19" t="str">
        <x:v>request</x:v>
      </x:c>
      <x:c r="D95" s="19" t="str">
        <x:v>Version</x:v>
      </x:c>
      <x:c r="E95" s="19" t="str">
        <x:v>E72: R; E73: R; E74: R; S06: R</x:v>
      </x:c>
      <x:c r="F95" s="19" t="str">
        <x:v>Aktuell version av Ediel-meddelandet.</x:v>
      </x:c>
      <x:c r="G95" s="19" t="str">
        <x:v>UNH/S009/0057</x:v>
      </x:c>
      <x:c r="H95" s="19" t="str">
        <x:v>U §3.7</x:v>
      </x:c>
      <x:c r="I95" s="19" t="str">
        <x:v>62</x:v>
      </x:c>
      <x:c r="J95" s="19" t="str">
        <x:v>2026-10-01</x:v>
      </x:c>
      <x:c r="K95" s="19" t="str">
        <x:v>Källtabell avläst; ej runtimeverifierad</x:v>
      </x:c>
    </x:row>
    <x:row r="96" ht="32" customHeight="1">
      <x:c r="A96" s="19" t="str">
        <x:v>UF-request-202-62</x:v>
      </x:c>
      <x:c r="B96" s="19" t="str">
        <x:v>202</x:v>
      </x:c>
      <x:c r="C96" s="19" t="str">
        <x:v>request</x:v>
      </x:c>
      <x:c r="D96" s="19" t="str">
        <x:v>Dokumentnamn, kod</x:v>
      </x:c>
      <x:c r="E96" s="19" t="str">
        <x:v>E72: R; E73: R; E74: R; S06: R</x:v>
      </x:c>
      <x:c r="F96" s="19" t="str">
        <x:v>UTILTS-meddelandetyp: E72, E73, E74 eller S06</x:v>
      </x:c>
      <x:c r="G96" s="19" t="str">
        <x:v>BGM/C002/1001</x:v>
      </x:c>
      <x:c r="H96" s="19" t="str">
        <x:v>U §3.7</x:v>
      </x:c>
      <x:c r="I96" s="19" t="str">
        <x:v>62</x:v>
      </x:c>
      <x:c r="J96" s="19" t="str">
        <x:v>2026-10-01</x:v>
      </x:c>
      <x:c r="K96" s="19" t="str">
        <x:v>Källtabell avläst; ej runtimeverifierad</x:v>
      </x:c>
    </x:row>
    <x:row r="97" ht="32" customHeight="1">
      <x:c r="A97" s="19" t="str">
        <x:v>UF-request-203-62</x:v>
      </x:c>
      <x:c r="B97" s="19" t="str">
        <x:v>203</x:v>
      </x:c>
      <x:c r="C97" s="19" t="str">
        <x:v>request</x:v>
      </x:c>
      <x:c r="D97" s="19" t="str">
        <x:v>Dokument id</x:v>
      </x:c>
      <x:c r="E97" s="19" t="str">
        <x:v>E72: R; E73: R; E74: R; S06: R</x:v>
      </x:c>
      <x:c r="F97" s="19" t="str">
        <x:v>Unik identitet på hela UTILTS-medd.</x:v>
      </x:c>
      <x:c r="G97" s="19" t="str">
        <x:v>BGM/C106/1004</x:v>
      </x:c>
      <x:c r="H97" s="19" t="str">
        <x:v>U §3.7</x:v>
      </x:c>
      <x:c r="I97" s="19" t="str">
        <x:v>62</x:v>
      </x:c>
      <x:c r="J97" s="19" t="str">
        <x:v>2026-10-01</x:v>
      </x:c>
      <x:c r="K97" s="19" t="str">
        <x:v>Källtabell avläst; ej runtimeverifierad</x:v>
      </x:c>
    </x:row>
    <x:row r="98" ht="32" customHeight="1">
      <x:c r="A98" s="19" t="str">
        <x:v>UF-request-204-62</x:v>
      </x:c>
      <x:c r="B98" s="19" t="str">
        <x:v>204</x:v>
      </x:c>
      <x:c r="C98" s="19" t="str">
        <x:v>request</x:v>
      </x:c>
      <x:c r="D98" s="19" t="str">
        <x:v>Meddelandefunktion</x:v>
      </x:c>
      <x:c r="E98" s="19" t="str">
        <x:v>E72: R; E73: R; E74: R; S06: R</x:v>
      </x:c>
      <x:c r="F98" s="19" t="str">
        <x:v>Funktion, se kod i BGM</x:v>
      </x:c>
      <x:c r="G98" s="19" t="str">
        <x:v>BGM/1225</x:v>
      </x:c>
      <x:c r="H98" s="19" t="str">
        <x:v>U §3.7</x:v>
      </x:c>
      <x:c r="I98" s="19" t="str">
        <x:v>62</x:v>
      </x:c>
      <x:c r="J98" s="19" t="str">
        <x:v>2026-10-01</x:v>
      </x:c>
      <x:c r="K98" s="19" t="str">
        <x:v>Källtabell avläst; ej runtimeverifierad</x:v>
      </x:c>
    </x:row>
    <x:row r="99" ht="32" customHeight="1">
      <x:c r="A99" s="19" t="str">
        <x:v>UF-request-313-62</x:v>
      </x:c>
      <x:c r="B99" s="19" t="str">
        <x:v>313</x:v>
      </x:c>
      <x:c r="C99" s="19" t="str">
        <x:v>request</x:v>
      </x:c>
      <x:c r="D99" s="19" t="str">
        <x:v>Kvittensbegäran</x:v>
      </x:c>
      <x:c r="E99" s="19" t="str">
        <x:v>E72: R; E73: R; E74: R; S06: R</x:v>
      </x:c>
      <x:c r="F99" s="19" t="str">
        <x:v>Begäran om APERAK</x:v>
      </x:c>
      <x:c r="G99" s="19" t="str">
        <x:v>BGM/4343</x:v>
      </x:c>
      <x:c r="H99" s="19" t="str">
        <x:v>U §3.7</x:v>
      </x:c>
      <x:c r="I99" s="19" t="str">
        <x:v>62</x:v>
      </x:c>
      <x:c r="J99" s="19" t="str">
        <x:v>2026-10-01</x:v>
      </x:c>
      <x:c r="K99" s="19" t="str">
        <x:v>Källtabell avläst; ej runtimeverifierad</x:v>
      </x:c>
    </x:row>
    <x:row r="100" ht="32" customHeight="1">
      <x:c r="A100" s="19" t="str">
        <x:v>UF-request-205-62</x:v>
      </x:c>
      <x:c r="B100" s="19" t="str">
        <x:v>205</x:v>
      </x:c>
      <x:c r="C100" s="19" t="str">
        <x:v>request</x:v>
      </x:c>
      <x:c r="D100" s="19" t="str">
        <x:v>Meddelandedatum</x:v>
      </x:c>
      <x:c r="E100" s="19" t="str">
        <x:v>E72: R; E73: R; E74: R; S06: R</x:v>
      </x:c>
      <x:c r="F100" s="19" t="str">
        <x:v>Datum då UTILTS-medd skapas i applikationen, format enligt DTM</x:v>
      </x:c>
      <x:c r="G100" s="19" t="str">
        <x:v>DTM+137/C507/2380</x:v>
      </x:c>
      <x:c r="H100" s="19" t="str">
        <x:v>U §3.7</x:v>
      </x:c>
      <x:c r="I100" s="19" t="str">
        <x:v>62</x:v>
      </x:c>
      <x:c r="J100" s="19" t="str">
        <x:v>2026-10-01</x:v>
      </x:c>
      <x:c r="K100" s="19" t="str">
        <x:v>Källtabell avläst; ej runtimeverifierad</x:v>
      </x:c>
    </x:row>
    <x:row r="101" ht="32" customHeight="1">
      <x:c r="A101" s="19" t="str">
        <x:v>UF-request-206-62</x:v>
      </x:c>
      <x:c r="B101" s="19" t="str">
        <x:v>206</x:v>
      </x:c>
      <x:c r="C101" s="19" t="str">
        <x:v>request</x:v>
      </x:c>
      <x:c r="D101" s="19" t="str">
        <x:v>Tidzon</x:v>
      </x:c>
      <x:c r="E101" s="19" t="str">
        <x:v>E72: R; E73: R; E74: R; S06: R</x:v>
      </x:c>
      <x:c r="F101" s="19" t="str">
        <x:v>Tidzon anges som ”offset” till UTC.</x:v>
      </x:c>
      <x:c r="G101" s="19" t="str">
        <x:v>DTM+735/C507/2380</x:v>
      </x:c>
      <x:c r="H101" s="19" t="str">
        <x:v>U §3.7</x:v>
      </x:c>
      <x:c r="I101" s="19" t="str">
        <x:v>62</x:v>
      </x:c>
      <x:c r="J101" s="19" t="str">
        <x:v>2026-10-01</x:v>
      </x:c>
      <x:c r="K101" s="19" t="str">
        <x:v>Källtabell avläst; ej runtimeverifierad</x:v>
      </x:c>
    </x:row>
    <x:row r="102" ht="32" customHeight="1">
      <x:c r="A102" s="19" t="str">
        <x:v>UF-request-501-62</x:v>
      </x:c>
      <x:c r="B102" s="19" t="str">
        <x:v>501</x:v>
      </x:c>
      <x:c r="C102" s="19" t="str">
        <x:v>request</x:v>
      </x:c>
      <x:c r="D102" s="19" t="str">
        <x:v>Marknad</x:v>
      </x:c>
      <x:c r="E102" s="19" t="str">
        <x:v>E72: R; E73: R; E74: R; S06: R</x:v>
      </x:c>
      <x:c r="F102" s="19" t="str">
        <x:v>El eller gas, se kod i MKS</x:v>
      </x:c>
      <x:c r="G102" s="19" t="str">
        <x:v>MKS/7293</x:v>
      </x:c>
      <x:c r="H102" s="19" t="str">
        <x:v>U §3.7</x:v>
      </x:c>
      <x:c r="I102" s="19" t="str">
        <x:v>62</x:v>
      </x:c>
      <x:c r="J102" s="19" t="str">
        <x:v>2026-10-01</x:v>
      </x:c>
      <x:c r="K102" s="19" t="str">
        <x:v>Källtabell avläst; ej runtimeverifierad</x:v>
      </x:c>
    </x:row>
    <x:row r="103" ht="32" customHeight="1">
      <x:c r="A103" s="19" t="str">
        <x:v>UF-request-502-62</x:v>
      </x:c>
      <x:c r="B103" s="19" t="str">
        <x:v>502</x:v>
      </x:c>
      <x:c r="C103" s="19" t="str">
        <x:v>request</x:v>
      </x:c>
      <x:c r="D103" s="19" t="str">
        <x:v>Skede</x:v>
      </x:c>
      <x:c r="E103" s="19" t="str">
        <x:v>E72: R; E73: R; E74: R; S06: R</x:v>
      </x:c>
      <x:c r="F103" s="19" t="str">
        <x:v>Aktuellt skede, se kod i MKS</x:v>
      </x:c>
      <x:c r="G103" s="19" t="str">
        <x:v>MKS/C332/3496</x:v>
      </x:c>
      <x:c r="H103" s="19" t="str">
        <x:v>U §3.7</x:v>
      </x:c>
      <x:c r="I103" s="19" t="str">
        <x:v>62</x:v>
      </x:c>
      <x:c r="J103" s="19" t="str">
        <x:v>2026-10-01</x:v>
      </x:c>
      <x:c r="K103" s="19" t="str">
        <x:v>Källtabell avläst; ej runtimeverifierad</x:v>
      </x:c>
    </x:row>
    <x:row r="104" ht="32" customHeight="1">
      <x:c r="A104" s="19" t="str">
        <x:v>UF-request-207-62</x:v>
      </x:c>
      <x:c r="B104" s="19" t="str">
        <x:v>207</x:v>
      </x:c>
      <x:c r="C104" s="19" t="str">
        <x:v>request</x:v>
      </x:c>
      <x:c r="D104" s="19" t="str">
        <x:v>Avsändare</x:v>
      </x:c>
      <x:c r="E104" s="19" t="str">
        <x:v>E72: R; E73: R; E74: R; S06: R</x:v>
      </x:c>
      <x:c r="F104" s="19" t="str">
        <x:v>Juridisk avsändare, Ediel-id</x:v>
      </x:c>
      <x:c r="G104" s="19" t="str">
        <x:v>SG2/NAD+MS/C082/3039</x:v>
      </x:c>
      <x:c r="H104" s="19" t="str">
        <x:v>U §3.7</x:v>
      </x:c>
      <x:c r="I104" s="19" t="str">
        <x:v>62</x:v>
      </x:c>
      <x:c r="J104" s="19" t="str">
        <x:v>2026-10-01</x:v>
      </x:c>
      <x:c r="K104" s="19" t="str">
        <x:v>Källtabell avläst; ej runtimeverifierad</x:v>
      </x:c>
    </x:row>
    <x:row r="105" ht="32" customHeight="1">
      <x:c r="A105" s="19" t="str">
        <x:v>UF-request-208-62</x:v>
      </x:c>
      <x:c r="B105" s="19" t="str">
        <x:v>208</x:v>
      </x:c>
      <x:c r="C105" s="19" t="str">
        <x:v>request</x:v>
      </x:c>
      <x:c r="D105" s="19" t="str">
        <x:v>Mottagare</x:v>
      </x:c>
      <x:c r="E105" s="19" t="str">
        <x:v>E72: R; E73: R; E74: R; S06: R</x:v>
      </x:c>
      <x:c r="F105" s="19" t="str">
        <x:v>Juridisk mottagare, Ediel-id</x:v>
      </x:c>
      <x:c r="G105" s="19" t="str">
        <x:v>SG2/NAD+MR/C082/3039</x:v>
      </x:c>
      <x:c r="H105" s="19" t="str">
        <x:v>U §3.7</x:v>
      </x:c>
      <x:c r="I105" s="19" t="str">
        <x:v>62</x:v>
      </x:c>
      <x:c r="J105" s="19" t="str">
        <x:v>2026-10-01</x:v>
      </x:c>
      <x:c r="K105" s="19" t="str">
        <x:v>Källtabell avläst; ej runtimeverifierad</x:v>
      </x:c>
    </x:row>
    <x:row r="106" ht="50.400001525878906" customHeight="1">
      <x:c r="A106" s="19" t="str">
        <x:v>UF-request-509-62</x:v>
      </x:c>
      <x:c r="B106" s="19" t="str">
        <x:v>509</x:v>
      </x:c>
      <x:c r="C106" s="19" t="str">
        <x:v>request</x:v>
      </x:c>
      <x:c r="D106" s="19" t="str">
        <x:v>Underordnad roll</x:v>
      </x:c>
      <x:c r="E106" s="19" t="str">
        <x:v>E72: R; E73: R; E74: R; S06: R</x:v>
      </x:c>
      <x:c r="F106" s="19" t="str">
        <x:v>Kod för den part som ej är ansvarig för det medde- lande som begärs, för UTILTS-Request blir det avsändarens roll, t ex leverantör, balansansvarig osv</x:v>
      </x:c>
      <x:c r="G106" s="19" t="str">
        <x:v>SG2/NAD/3035</x:v>
      </x:c>
      <x:c r="H106" s="19" t="str">
        <x:v>U §3.7</x:v>
      </x:c>
      <x:c r="I106" s="19" t="str">
        <x:v>62</x:v>
      </x:c>
      <x:c r="J106" s="19" t="str">
        <x:v>2026-10-01</x:v>
      </x:c>
      <x:c r="K106" s="19" t="str">
        <x:v>Källtabell avläst; ej runtimeverifierad</x:v>
      </x:c>
    </x:row>
    <x:row r="107" ht="36.599998474121094" customHeight="1">
      <x:c r="A107" s="19" t="str">
        <x:v>UF-request-505-62</x:v>
      </x:c>
      <x:c r="B107" s="19" t="str">
        <x:v>505</x:v>
      </x:c>
      <x:c r="C107" s="19" t="str">
        <x:v>request</x:v>
      </x:c>
      <x:c r="D107" s="19" t="str">
        <x:v>Transaktionsnr</x:v>
      </x:c>
      <x:c r="E107" s="19" t="str">
        <x:v>E72: R; E73: R; E74: R; S06: R</x:v>
      </x:c>
      <x:c r="F107" s="19" t="str">
        <x:v>Avsändarens unika id på transaktionen. Används för att kunna referera till en specifik transaktion.</x:v>
      </x:c>
      <x:c r="G107" s="19" t="str">
        <x:v>SG5/IDE+24/C206/7402</x:v>
      </x:c>
      <x:c r="H107" s="19" t="str">
        <x:v>U §3.7</x:v>
      </x:c>
      <x:c r="I107" s="19" t="str">
        <x:v>62</x:v>
      </x:c>
      <x:c r="J107" s="19" t="str">
        <x:v>2026-10-01</x:v>
      </x:c>
      <x:c r="K107" s="19" t="str">
        <x:v>Källtabell avläst; ej runtimeverifierad</x:v>
      </x:c>
    </x:row>
    <x:row r="108" ht="36.599998474121094" customHeight="1">
      <x:c r="A108" s="19" t="str">
        <x:v>UF-request-209-63</x:v>
      </x:c>
      <x:c r="B108" s="19" t="str">
        <x:v>209</x:v>
      </x:c>
      <x:c r="C108" s="19" t="str">
        <x:v>request</x:v>
      </x:c>
      <x:c r="D108" s="19" t="str">
        <x:v>Anläggningsid</x:v>
      </x:c>
      <x:c r="E108" s="19" t="str">
        <x:v>E72: R; E73: D; E74: -; S06: -</x:v>
      </x:c>
      <x:c r="F108" s="19" t="str">
        <x:v>Anläggningsid, nätägarens id alt GS1 (GSRN). Anges alltid i E73 såvida inte man begär mätvärden (E66) för ett reglerobjekt.</x:v>
      </x:c>
      <x:c r="G108" s="19" t="str">
        <x:v>SG5/LOC+172/C517/3225</x:v>
      </x:c>
      <x:c r="H108" s="19" t="str">
        <x:v>U §3.7</x:v>
      </x:c>
      <x:c r="I108" s="19" t="str">
        <x:v>63</x:v>
      </x:c>
      <x:c r="J108" s="19" t="str">
        <x:v>2026-10-01</x:v>
      </x:c>
      <x:c r="K108" s="19" t="str">
        <x:v>Källtabell avläst; ej runtimeverifierad</x:v>
      </x:c>
    </x:row>
    <x:row r="109" ht="36.599998474121094" customHeight="1">
      <x:c r="A109" s="19" t="str">
        <x:v>UF-request-533-63</x:v>
      </x:c>
      <x:c r="B109" s="19" t="str">
        <x:v>533</x:v>
      </x:c>
      <x:c r="C109" s="19" t="str">
        <x:v>request</x:v>
      </x:c>
      <x:c r="D109" s="19" t="str">
        <x:v>Reglerobjektsid</x:v>
      </x:c>
      <x:c r="E109" s="19" t="str">
        <x:v>E72: -; E73: D; E74: -; S06: D</x:v>
      </x:c>
      <x:c r="F109" s="19" t="str">
        <x:v>Reglerobjektsid Används i E73 respektive S06 om man begär mätvärden (E66 resp. S01) för ett visst reglerobjekt.</x:v>
      </x:c>
      <x:c r="G109" s="19" t="str">
        <x:v>SG5/LOC+175/C517/3225</x:v>
      </x:c>
      <x:c r="H109" s="19" t="str">
        <x:v>U §3.7</x:v>
      </x:c>
      <x:c r="I109" s="19" t="str">
        <x:v>63</x:v>
      </x:c>
      <x:c r="J109" s="19" t="str">
        <x:v>2026-10-01</x:v>
      </x:c>
      <x:c r="K109" s="19" t="str">
        <x:v>Källtabell avläst; ej runtimeverifierad</x:v>
      </x:c>
    </x:row>
    <x:row r="110" ht="119.4000015258789" customHeight="1">
      <x:c r="A110" s="19" t="str">
        <x:v>UF-request-260a-63</x:v>
      </x:c>
      <x:c r="B110" s="19" t="str">
        <x:v>260a</x:v>
      </x:c>
      <x:c r="C110" s="19" t="str">
        <x:v>request</x:v>
      </x:c>
      <x:c r="D110" s="19" t="str">
        <x:v>Nätområdesid</x:v>
      </x:c>
      <x:c r="E110" s="19" t="str">
        <x:v>E72: O; E73: D; E74: D; S06: D</x:v>
      </x:c>
      <x:c r="F110" s="19" t="str">
        <x:v>Nätområdesid I E72 är fält 260a eller 260b+260c frivilligt att använda. Fält 260a används alltid i E74 om en S03 begärs. Fält 260a eller 260b+260c används i E74 då E31 begärs beroende på aktuell tidsserieprodukt (OT). Fält 260a används i S06 om S04 begärs. Fält 260a används i E73 om S02 begärs. Fält 260a eller 260b+260c används i E73 om E66 begärs. Fält 260a eller 260b+260c används i S06 om S01 begärs beroende på aktuell tidsserieprodukt (OT).</x:v>
      </x:c>
      <x:c r="G110" s="19" t="str">
        <x:v>SG5/LOC+239/C517/3225</x:v>
      </x:c>
      <x:c r="H110" s="19" t="str">
        <x:v>U §3.7</x:v>
      </x:c>
      <x:c r="I110" s="19" t="str">
        <x:v>63</x:v>
      </x:c>
      <x:c r="J110" s="19" t="str">
        <x:v>2026-10-01</x:v>
      </x:c>
      <x:c r="K110" s="19" t="str">
        <x:v>Källtabell avläst; ej runtimeverifierad</x:v>
      </x:c>
    </x:row>
    <x:row r="111" ht="64.19999694824219" customHeight="1">
      <x:c r="A111" s="19" t="str">
        <x:v>UF-request-260b-63</x:v>
      </x:c>
      <x:c r="B111" s="19" t="str">
        <x:v>260b</x:v>
      </x:c>
      <x:c r="C111" s="19" t="str">
        <x:v>request</x:v>
      </x:c>
      <x:c r="D111" s="19" t="str">
        <x:v>Nätområde – utmatning</x:v>
      </x:c>
      <x:c r="E111" s="19" t="str">
        <x:v>E72: O; E73: D; E74: D; S06: D</x:v>
      </x:c>
      <x:c r="F111" s="19" t="str">
        <x:v>Nätområdesid för utmatning Skickas alltid tillsammans med 260c Obligatoriskt i E74 om 513 = Exchange Ej aktuell i S06 om S04 begärs. Ej aktuell i E73 om S02 begärs. Ej aktuell i E74 om S03 begärs.</x:v>
      </x:c>
      <x:c r="G111" s="19" t="str">
        <x:v>SG5/LOC+232/C517/3225</x:v>
      </x:c>
      <x:c r="H111" s="19" t="str">
        <x:v>U §3.7</x:v>
      </x:c>
      <x:c r="I111" s="19" t="str">
        <x:v>63</x:v>
      </x:c>
      <x:c r="J111" s="19" t="str">
        <x:v>2026-10-01</x:v>
      </x:c>
      <x:c r="K111" s="19" t="str">
        <x:v>Källtabell avläst; ej runtimeverifierad</x:v>
      </x:c>
    </x:row>
    <x:row r="112" ht="64.19999694824219" customHeight="1">
      <x:c r="A112" s="19" t="str">
        <x:v>UF-request-260c-63</x:v>
      </x:c>
      <x:c r="B112" s="19" t="str">
        <x:v>260c</x:v>
      </x:c>
      <x:c r="C112" s="19" t="str">
        <x:v>request</x:v>
      </x:c>
      <x:c r="D112" s="19" t="str">
        <x:v>Nätområde – inmatning</x:v>
      </x:c>
      <x:c r="E112" s="19" t="str">
        <x:v>E72: O; E73: D; E74: D; S06: D</x:v>
      </x:c>
      <x:c r="F112" s="19" t="str">
        <x:v>Nätområdesid för inmatning Skickas alltid tillsammans med 260b Obligatoriskt i E74 om 513 = Exchange Ej aktuell i S06 om S04 begärs. Ej aktuell i E73 om S02 begärs. Ej aktuell i E74 om S03 begärs.</x:v>
      </x:c>
      <x:c r="G112" s="19" t="str">
        <x:v>SG5/LOC+233/C517/3225</x:v>
      </x:c>
      <x:c r="H112" s="19" t="str">
        <x:v>U §3.7</x:v>
      </x:c>
      <x:c r="I112" s="19" t="str">
        <x:v>63</x:v>
      </x:c>
      <x:c r="J112" s="19" t="str">
        <x:v>2026-10-01</x:v>
      </x:c>
      <x:c r="K112" s="19" t="str">
        <x:v>Källtabell avläst; ej runtimeverifierad</x:v>
      </x:c>
    </x:row>
    <x:row r="113" ht="36.599998474121094" customHeight="1">
      <x:c r="A113" s="19" t="str">
        <x:v>UF-request-262-64</x:v>
      </x:c>
      <x:c r="B113" s="19" t="str">
        <x:v>262</x:v>
      </x:c>
      <x:c r="C113" s="19" t="str">
        <x:v>request</x:v>
      </x:c>
      <x:c r="D113" s="19" t="str">
        <x:v>Balansansvarig</x:v>
      </x:c>
      <x:c r="E113" s="19" t="str">
        <x:v>E72: -; E73: -; E74: D; S06: D</x:v>
      </x:c>
      <x:c r="F113" s="19" t="str">
        <x:v>Balansansvarig Villkor om detta fält ska skickas eller inte är beroende på vilken tidsserieprodukt (OT) som är aktuell.</x:v>
      </x:c>
      <x:c r="G113" s="19" t="str">
        <x:v>SG5/NAD+DDK//C082/3039</x:v>
      </x:c>
      <x:c r="H113" s="19" t="str">
        <x:v>U §3.7</x:v>
      </x:c>
      <x:c r="I113" s="19" t="str">
        <x:v>64</x:v>
      </x:c>
      <x:c r="J113" s="19" t="str">
        <x:v>2026-10-01</x:v>
      </x:c>
      <x:c r="K113" s="19" t="str">
        <x:v>Källtabell avläst; ej runtimeverifierad</x:v>
      </x:c>
    </x:row>
    <x:row r="114" ht="36.599998474121094" customHeight="1">
      <x:c r="A114" s="19" t="str">
        <x:v>UF-request-510-64</x:v>
      </x:c>
      <x:c r="B114" s="19" t="str">
        <x:v>510</x:v>
      </x:c>
      <x:c r="C114" s="19" t="str">
        <x:v>request</x:v>
      </x:c>
      <x:c r="D114" s="19" t="str">
        <x:v>Leverantör</x:v>
      </x:c>
      <x:c r="E114" s="19" t="str">
        <x:v>E72: -; E73: -; E74: D; S06: -</x:v>
      </x:c>
      <x:c r="F114" s="19" t="str">
        <x:v>Leverantör Villkor om detta fält ska skickas eller inte är beroende på vilken tidsserieprodukt (OT) som är aktuell.</x:v>
      </x:c>
      <x:c r="G114" s="19" t="str">
        <x:v>SG5/NAD+DDQ//C082/3039</x:v>
      </x:c>
      <x:c r="H114" s="19" t="str">
        <x:v>U §3.7</x:v>
      </x:c>
      <x:c r="I114" s="19" t="str">
        <x:v>64</x:v>
      </x:c>
      <x:c r="J114" s="19" t="str">
        <x:v>2026-10-01</x:v>
      </x:c>
      <x:c r="K114" s="19" t="str">
        <x:v>Källtabell avläst; ej runtimeverifierad</x:v>
      </x:c>
    </x:row>
    <x:row r="115" ht="36.599998474121094" customHeight="1">
      <x:c r="A115" s="19" t="str">
        <x:v>UF-request-524-64</x:v>
      </x:c>
      <x:c r="B115" s="19" t="str">
        <x:v>524</x:v>
      </x:c>
      <x:c r="C115" s="19" t="str">
        <x:v>request</x:v>
      </x:c>
      <x:c r="D115" s="19" t="str">
        <x:v>Köpare</x:v>
      </x:c>
      <x:c r="E115" s="19" t="str">
        <x:v>E72: -; E73: -; E74: -; S06: D</x:v>
      </x:c>
      <x:c r="F115" s="19" t="str">
        <x:v>Köpare Villkor om detta fält ska skickas eller inte är beroende på vilken tidsserieprodukt (OT) som är aktuell.</x:v>
      </x:c>
      <x:c r="G115" s="19" t="str">
        <x:v>SG5/NAD+BY//C082/3039</x:v>
      </x:c>
      <x:c r="H115" s="19" t="str">
        <x:v>U §3.7</x:v>
      </x:c>
      <x:c r="I115" s="19" t="str">
        <x:v>64</x:v>
      </x:c>
      <x:c r="J115" s="19" t="str">
        <x:v>2026-10-01</x:v>
      </x:c>
      <x:c r="K115" s="19" t="str">
        <x:v>Källtabell avläst; ej runtimeverifierad</x:v>
      </x:c>
    </x:row>
    <x:row r="116" ht="36.599998474121094" customHeight="1">
      <x:c r="A116" s="19" t="str">
        <x:v>UF-request-525-64</x:v>
      </x:c>
      <x:c r="B116" s="19" t="str">
        <x:v>525</x:v>
      </x:c>
      <x:c r="C116" s="19" t="str">
        <x:v>request</x:v>
      </x:c>
      <x:c r="D116" s="19" t="str">
        <x:v>Säljare</x:v>
      </x:c>
      <x:c r="E116" s="19" t="str">
        <x:v>E72: -; E73: -; E74: -; S06: D</x:v>
      </x:c>
      <x:c r="F116" s="19" t="str">
        <x:v>Säljare Villkor om detta fält ska skickas eller inte är beroende på vilken tidsserieprodukt (OT) som är aktuell.</x:v>
      </x:c>
      <x:c r="G116" s="19" t="str">
        <x:v>SG5/NAD+SE//C082/3039</x:v>
      </x:c>
      <x:c r="H116" s="19" t="str">
        <x:v>U §3.7</x:v>
      </x:c>
      <x:c r="I116" s="19" t="str">
        <x:v>64</x:v>
      </x:c>
      <x:c r="J116" s="19" t="str">
        <x:v>2026-10-01</x:v>
      </x:c>
      <x:c r="K116" s="19" t="str">
        <x:v>Källtabell avläst; ej runtimeverifierad</x:v>
      </x:c>
    </x:row>
    <x:row r="117" ht="36.599998474121094" customHeight="1">
      <x:c r="A117" s="19" t="str">
        <x:v>UF-request-526-64</x:v>
      </x:c>
      <x:c r="B117" s="19" t="str">
        <x:v>526</x:v>
      </x:c>
      <x:c r="C117" s="19" t="str">
        <x:v>request</x:v>
      </x:c>
      <x:c r="D117" s="19" t="str">
        <x:v>Systemansvarig</x:v>
      </x:c>
      <x:c r="E117" s="19" t="str">
        <x:v>E72: -; E73: -; E74: -; S06: D</x:v>
      </x:c>
      <x:c r="F117" s="19" t="str">
        <x:v>Systemansvarig Villkor om detta fält ska skickas eller inte är beroende på vilken tidsserieprodukt (OT) som är aktuell.</x:v>
      </x:c>
      <x:c r="G117" s="19" t="str">
        <x:v>SG5/NAD+EZ//C082/3039</x:v>
      </x:c>
      <x:c r="H117" s="19" t="str">
        <x:v>U §3.7</x:v>
      </x:c>
      <x:c r="I117" s="19" t="str">
        <x:v>64</x:v>
      </x:c>
      <x:c r="J117" s="19" t="str">
        <x:v>2026-10-01</x:v>
      </x:c>
      <x:c r="K117" s="19" t="str">
        <x:v>Källtabell avläst; ej runtimeverifierad</x:v>
      </x:c>
    </x:row>
    <x:row r="118" ht="32" customHeight="1">
      <x:c r="A118" s="19" t="str">
        <x:v>UF-request-506-64</x:v>
      </x:c>
      <x:c r="B118" s="19" t="str">
        <x:v>506</x:v>
      </x:c>
      <x:c r="C118" s="19" t="str">
        <x:v>request</x:v>
      </x:c>
      <x:c r="D118" s="19" t="str">
        <x:v>Produkt id</x:v>
      </x:c>
      <x:c r="E118" s="19" t="str">
        <x:v>E72: -; E73: R; E74: -; S06: -</x:v>
      </x:c>
      <x:c r="F118" s="19" t="str">
        <x:v>Generell produktkod, se koder i LIN</x:v>
      </x:c>
      <x:c r="G118" s="19" t="str">
        <x:v>SG5/LIN/C212/7140</x:v>
      </x:c>
      <x:c r="H118" s="19" t="str">
        <x:v>U §3.7</x:v>
      </x:c>
      <x:c r="I118" s="19" t="str">
        <x:v>64</x:v>
      </x:c>
      <x:c r="J118" s="19" t="str">
        <x:v>2026-10-01</x:v>
      </x:c>
      <x:c r="K118" s="19" t="str">
        <x:v>Källtabell avläst; ej runtimeverifierad</x:v>
      </x:c>
    </x:row>
    <x:row r="119" ht="36.599998474121094" customHeight="1">
      <x:c r="A119" s="19" t="str">
        <x:v>UF-request-511-64</x:v>
      </x:c>
      <x:c r="B119" s="19" t="str">
        <x:v>511</x:v>
      </x:c>
      <x:c r="C119" s="19" t="str">
        <x:v>request</x:v>
      </x:c>
      <x:c r="D119" s="19" t="str">
        <x:v>Tidsserieprodukt</x:v>
      </x:c>
      <x:c r="E119" s="19" t="str">
        <x:v>E72: -; E73: -; E74: R; S06: R</x:v>
      </x:c>
      <x:c r="F119" s="19" t="str">
        <x:v>Tidsserieprodukt Fem koder anges i enlighet med Svenska kraftnäts kodlista, fält 511a, 511b, 511c, 511d och 511e.</x:v>
      </x:c>
      <x:c r="G119" s="19" t="str">
        <x:v>SG5/PIA+1/C212/7140 (x5)</x:v>
      </x:c>
      <x:c r="H119" s="19" t="str">
        <x:v>U §3.7</x:v>
      </x:c>
      <x:c r="I119" s="19" t="str">
        <x:v>64</x:v>
      </x:c>
      <x:c r="J119" s="19" t="str">
        <x:v>2026-10-01</x:v>
      </x:c>
      <x:c r="K119" s="19" t="str">
        <x:v>Källtabell avläst; ej runtimeverifierad</x:v>
      </x:c>
    </x:row>
    <x:row r="120" ht="32" customHeight="1">
      <x:c r="A120" s="19" t="str">
        <x:v>UF-request-245-64</x:v>
      </x:c>
      <x:c r="B120" s="19" t="str">
        <x:v>245</x:v>
      </x:c>
      <x:c r="C120" s="19" t="str">
        <x:v>request</x:v>
      </x:c>
      <x:c r="D120" s="19" t="str">
        <x:v>Leveransperiod</x:v>
      </x:c>
      <x:c r="E120" s="19" t="str">
        <x:v>E72: R; E73: R; E74: R; S06: R</x:v>
      </x:c>
      <x:c r="F120" s="19" t="str">
        <x:v>Begärd period för efterfrågade värden</x:v>
      </x:c>
      <x:c r="G120" s="19" t="str">
        <x:v>SG5/DTM+324/C507/2380</x:v>
      </x:c>
      <x:c r="H120" s="19" t="str">
        <x:v>U §3.7</x:v>
      </x:c>
      <x:c r="I120" s="19" t="str">
        <x:v>64</x:v>
      </x:c>
      <x:c r="J120" s="19" t="str">
        <x:v>2026-10-01</x:v>
      </x:c>
      <x:c r="K120" s="19" t="str">
        <x:v>Källtabell avläst; ej runtimeverifierad</x:v>
      </x:c>
    </x:row>
    <x:row r="121" ht="36.599998474121094" customHeight="1">
      <x:c r="A121" s="19" t="str">
        <x:v>UF-request-223-64</x:v>
      </x:c>
      <x:c r="B121" s="19" t="str">
        <x:v>223</x:v>
      </x:c>
      <x:c r="C121" s="19" t="str">
        <x:v>request</x:v>
      </x:c>
      <x:c r="D121" s="19" t="str">
        <x:v>Anledning till transaktionen</x:v>
      </x:c>
      <x:c r="E121" s="19" t="str">
        <x:v>E72: R; E73: R; E74: R; S06: R</x:v>
      </x:c>
      <x:c r="F121" s="19" t="str">
        <x:v>Anledning till trans. = det som ska skickas i det begärda meddelandet</x:v>
      </x:c>
      <x:c r="G121" s="19" t="str">
        <x:v>SG5/STS+7/C556/9013</x:v>
      </x:c>
      <x:c r="H121" s="19" t="str">
        <x:v>U §3.7</x:v>
      </x:c>
      <x:c r="I121" s="19" t="str">
        <x:v>64</x:v>
      </x:c>
      <x:c r="J121" s="19" t="str">
        <x:v>2026-10-01</x:v>
      </x:c>
      <x:c r="K121" s="19" t="str">
        <x:v>Källtabell avläst; ej runtimeverifierad</x:v>
      </x:c>
    </x:row>
    <x:row r="122" ht="36.599998474121094" customHeight="1">
      <x:c r="A122" s="19" t="str">
        <x:v>UF-request-503-64</x:v>
      </x:c>
      <x:c r="B122" s="19" t="str">
        <x:v>503</x:v>
      </x:c>
      <x:c r="C122" s="19" t="str">
        <x:v>request</x:v>
      </x:c>
      <x:c r="D122" s="19" t="str">
        <x:v>Referens till meddelandetyp</x:v>
      </x:c>
      <x:c r="E122" s="19" t="str">
        <x:v>E72: R; E73: R; E74: R; S06: R</x:v>
      </x:c>
      <x:c r="F122" s="19" t="str">
        <x:v>Referens till UTILTS-meddelandetyp, E30, E31, E66, S01, S02, S03, S04</x:v>
      </x:c>
      <x:c r="G122" s="19" t="str">
        <x:v>SG6/RFF/1153</x:v>
      </x:c>
      <x:c r="H122" s="19" t="str">
        <x:v>U §3.7</x:v>
      </x:c>
      <x:c r="I122" s="19" t="str">
        <x:v>64</x:v>
      </x:c>
      <x:c r="J122" s="19" t="str">
        <x:v>2026-10-01</x:v>
      </x:c>
      <x:c r="K122" s="19" t="str">
        <x:v>Källtabell avläst; ej runtimeverifierad</x:v>
      </x:c>
    </x:row>
    <x:row r="123" ht="32" customHeight="1">
      <x:c r="A123" s="19" t="str">
        <x:v>UF-request-254-64</x:v>
      </x:c>
      <x:c r="B123" s="19" t="str">
        <x:v>254</x:v>
      </x:c>
      <x:c r="C123" s="19" t="str">
        <x:v>request</x:v>
      </x:c>
      <x:c r="D123" s="19" t="str">
        <x:v>Avräkningsmetod</x:v>
      </x:c>
      <x:c r="E123" s="19" t="str">
        <x:v>E72: -; E73: -; E74: R; S06: -</x:v>
      </x:c>
      <x:c r="F123" s="19" t="str">
        <x:v>”Profiled” eller ”Non-profiled”</x:v>
      </x:c>
      <x:c r="G123" s="19" t="str">
        <x:v>SG7/CAV/C889/7111 under SG7/CCI+++E02</x:v>
      </x:c>
      <x:c r="H123" s="19" t="str">
        <x:v>U §3.7</x:v>
      </x:c>
      <x:c r="I123" s="19" t="str">
        <x:v>64</x:v>
      </x:c>
      <x:c r="J123" s="19" t="str">
        <x:v>2026-10-01</x:v>
      </x:c>
      <x:c r="K123" s="19" t="str">
        <x:v>Källtabell avläst; ej runtimeverifierad</x:v>
      </x:c>
    </x:row>
    <x:row r="124" ht="32" customHeight="1">
      <x:c r="A124" s="19" t="str">
        <x:v>UF-request-513-65</x:v>
      </x:c>
      <x:c r="B124" s="19" t="str">
        <x:v>513</x:v>
      </x:c>
      <x:c r="C124" s="19" t="str">
        <x:v>request</x:v>
      </x:c>
      <x:c r="D124" s="19" t="str">
        <x:v>Typ av anläggningar</x:v>
      </x:c>
      <x:c r="E124" s="19" t="str">
        <x:v>E72: -; E73: R; E74: R; S06: -</x:v>
      </x:c>
      <x:c r="F124" s="19" t="str">
        <x:v>”Consumption”, ”Production” eller ”Exchange”</x:v>
      </x:c>
      <x:c r="G124" s="19" t="str">
        <x:v>SG7/CAV/C889/7111 under SG7/CCI+++E12</x:v>
      </x:c>
      <x:c r="H124" s="19" t="str">
        <x:v>U §3.7</x:v>
      </x:c>
      <x:c r="I124" s="19" t="str">
        <x:v>65</x:v>
      </x:c>
      <x:c r="J124" s="19" t="str">
        <x:v>2026-10-01</x:v>
      </x:c>
      <x:c r="K124" s="19" t="str">
        <x:v>Källtabell avläst; ej runtimeverifierad</x:v>
      </x:c>
    </x:row>
    <x:row r="125" ht="32" customHeight="1">
      <x:c r="A125" s="19" t="str">
        <x:v>UF-error-311-66</x:v>
      </x:c>
      <x:c r="B125" s="19" t="str">
        <x:v>311</x:v>
      </x:c>
      <x:c r="C125" s="19" t="str">
        <x:v>error</x:v>
      </x:c>
      <x:c r="D125" s="19" t="str">
        <x:v>Application Reference</x:v>
      </x:c>
      <x:c r="E125" s="19" t="str">
        <x:v>ERR: R</x:v>
      </x:c>
      <x:c r="F125" s="19" t="str">
        <x:v>Samma som i det kvitterade meddelandet</x:v>
      </x:c>
      <x:c r="G125" s="19" t="str">
        <x:v>UNB/0026</x:v>
      </x:c>
      <x:c r="H125" s="19" t="str">
        <x:v>U §3.7</x:v>
      </x:c>
      <x:c r="I125" s="19" t="str">
        <x:v>66</x:v>
      </x:c>
      <x:c r="J125" s="19" t="str">
        <x:v>2026-10-01</x:v>
      </x:c>
      <x:c r="K125" s="19" t="str">
        <x:v>Källtabell avläst; ej runtimeverifierad</x:v>
      </x:c>
    </x:row>
    <x:row r="126" ht="36.599998474121094" customHeight="1">
      <x:c r="A126" s="19" t="str">
        <x:v>UF-error-312-66</x:v>
      </x:c>
      <x:c r="B126" s="19" t="str">
        <x:v>312</x:v>
      </x:c>
      <x:c r="C126" s="19" t="str">
        <x:v>error</x:v>
      </x:c>
      <x:c r="D126" s="19" t="str">
        <x:v>Version</x:v>
      </x:c>
      <x:c r="E126" s="19" t="str">
        <x:v>ERR: R</x:v>
      </x:c>
      <x:c r="F126" s="19" t="str">
        <x:v>Samma version som i det mottagna Ediel-meddelandet (var den versionen fel, skickas negativt APERAK).</x:v>
      </x:c>
      <x:c r="G126" s="19" t="str">
        <x:v>UNH/S009/0057</x:v>
      </x:c>
      <x:c r="H126" s="19" t="str">
        <x:v>U §3.7</x:v>
      </x:c>
      <x:c r="I126" s="19" t="str">
        <x:v>66</x:v>
      </x:c>
      <x:c r="J126" s="19" t="str">
        <x:v>2026-10-01</x:v>
      </x:c>
      <x:c r="K126" s="19" t="str">
        <x:v>Källtabell avläst; ej runtimeverifierad</x:v>
      </x:c>
    </x:row>
    <x:row r="127" ht="32" customHeight="1">
      <x:c r="A127" s="19" t="str">
        <x:v>UF-error-202-66</x:v>
      </x:c>
      <x:c r="B127" s="19" t="str">
        <x:v>202</x:v>
      </x:c>
      <x:c r="C127" s="19" t="str">
        <x:v>error</x:v>
      </x:c>
      <x:c r="D127" s="19" t="str">
        <x:v>Dokumentnamn, kod</x:v>
      </x:c>
      <x:c r="E127" s="19" t="str">
        <x:v>ERR: R</x:v>
      </x:c>
      <x:c r="F127" s="19" t="str">
        <x:v>UTILTS-meddelandetyp: ERR</x:v>
      </x:c>
      <x:c r="G127" s="19" t="str">
        <x:v>BGM/C002/1001</x:v>
      </x:c>
      <x:c r="H127" s="19" t="str">
        <x:v>U §3.7</x:v>
      </x:c>
      <x:c r="I127" s="19" t="str">
        <x:v>66</x:v>
      </x:c>
      <x:c r="J127" s="19" t="str">
        <x:v>2026-10-01</x:v>
      </x:c>
      <x:c r="K127" s="19" t="str">
        <x:v>Källtabell avläst; ej runtimeverifierad</x:v>
      </x:c>
    </x:row>
    <x:row r="128" ht="32" customHeight="1">
      <x:c r="A128" s="19" t="str">
        <x:v>UF-error-203-66</x:v>
      </x:c>
      <x:c r="B128" s="19" t="str">
        <x:v>203</x:v>
      </x:c>
      <x:c r="C128" s="19" t="str">
        <x:v>error</x:v>
      </x:c>
      <x:c r="D128" s="19" t="str">
        <x:v>Dokument id</x:v>
      </x:c>
      <x:c r="E128" s="19" t="str">
        <x:v>ERR: R</x:v>
      </x:c>
      <x:c r="F128" s="19" t="str">
        <x:v>Unik identitet på hela UTILTS-medd.</x:v>
      </x:c>
      <x:c r="G128" s="19" t="str">
        <x:v>BGM/C106/1004</x:v>
      </x:c>
      <x:c r="H128" s="19" t="str">
        <x:v>U §3.7</x:v>
      </x:c>
      <x:c r="I128" s="19" t="str">
        <x:v>66</x:v>
      </x:c>
      <x:c r="J128" s="19" t="str">
        <x:v>2026-10-01</x:v>
      </x:c>
      <x:c r="K128" s="19" t="str">
        <x:v>Källtabell avläst; ej runtimeverifierad</x:v>
      </x:c>
    </x:row>
    <x:row r="129" ht="32" customHeight="1">
      <x:c r="A129" s="19" t="str">
        <x:v>UF-error-204-66</x:v>
      </x:c>
      <x:c r="B129" s="19" t="str">
        <x:v>204</x:v>
      </x:c>
      <x:c r="C129" s="19" t="str">
        <x:v>error</x:v>
      </x:c>
      <x:c r="D129" s="19" t="str">
        <x:v>Meddelandefunktion</x:v>
      </x:c>
      <x:c r="E129" s="19" t="str">
        <x:v>ERR: R</x:v>
      </x:c>
      <x:c r="F129" s="19" t="str">
        <x:v>Funktion, se kod i BGM</x:v>
      </x:c>
      <x:c r="G129" s="19" t="str">
        <x:v>BGM/1225</x:v>
      </x:c>
      <x:c r="H129" s="19" t="str">
        <x:v>U §3.7</x:v>
      </x:c>
      <x:c r="I129" s="19" t="str">
        <x:v>66</x:v>
      </x:c>
      <x:c r="J129" s="19" t="str">
        <x:v>2026-10-01</x:v>
      </x:c>
      <x:c r="K129" s="19" t="str">
        <x:v>Källtabell avläst; ej runtimeverifierad</x:v>
      </x:c>
    </x:row>
    <x:row r="130" ht="32" customHeight="1">
      <x:c r="A130" s="19" t="str">
        <x:v>UF-error-313-66</x:v>
      </x:c>
      <x:c r="B130" s="19" t="str">
        <x:v>313</x:v>
      </x:c>
      <x:c r="C130" s="19" t="str">
        <x:v>error</x:v>
      </x:c>
      <x:c r="D130" s="19" t="str">
        <x:v>Kvittensbegäran</x:v>
      </x:c>
      <x:c r="E130" s="19" t="str">
        <x:v>ERR: R</x:v>
      </x:c>
      <x:c r="F130" s="19" t="str">
        <x:v>Begäran om APERAK</x:v>
      </x:c>
      <x:c r="G130" s="19" t="str">
        <x:v>BGM/4343</x:v>
      </x:c>
      <x:c r="H130" s="19" t="str">
        <x:v>U §3.7</x:v>
      </x:c>
      <x:c r="I130" s="19" t="str">
        <x:v>66</x:v>
      </x:c>
      <x:c r="J130" s="19" t="str">
        <x:v>2026-10-01</x:v>
      </x:c>
      <x:c r="K130" s="19" t="str">
        <x:v>Källtabell avläst; ej runtimeverifierad</x:v>
      </x:c>
    </x:row>
    <x:row r="131" ht="32" customHeight="1">
      <x:c r="A131" s="19" t="str">
        <x:v>UF-error-205-66</x:v>
      </x:c>
      <x:c r="B131" s="19" t="str">
        <x:v>205</x:v>
      </x:c>
      <x:c r="C131" s="19" t="str">
        <x:v>error</x:v>
      </x:c>
      <x:c r="D131" s="19" t="str">
        <x:v>Meddelandedatum</x:v>
      </x:c>
      <x:c r="E131" s="19" t="str">
        <x:v>ERR: R</x:v>
      </x:c>
      <x:c r="F131" s="19" t="str">
        <x:v>Datum då UTILTS-medd skapas i applikationen, format enligt DTM</x:v>
      </x:c>
      <x:c r="G131" s="19" t="str">
        <x:v>DTM+137/C507/2380</x:v>
      </x:c>
      <x:c r="H131" s="19" t="str">
        <x:v>U §3.7</x:v>
      </x:c>
      <x:c r="I131" s="19" t="str">
        <x:v>66</x:v>
      </x:c>
      <x:c r="J131" s="19" t="str">
        <x:v>2026-10-01</x:v>
      </x:c>
      <x:c r="K131" s="19" t="str">
        <x:v>Källtabell avläst; ej runtimeverifierad</x:v>
      </x:c>
    </x:row>
    <x:row r="132" ht="32" customHeight="1">
      <x:c r="A132" s="19" t="str">
        <x:v>UF-error-206-66</x:v>
      </x:c>
      <x:c r="B132" s="19" t="str">
        <x:v>206</x:v>
      </x:c>
      <x:c r="C132" s="19" t="str">
        <x:v>error</x:v>
      </x:c>
      <x:c r="D132" s="19" t="str">
        <x:v>Tidzon</x:v>
      </x:c>
      <x:c r="E132" s="19" t="str">
        <x:v>ERR: R</x:v>
      </x:c>
      <x:c r="F132" s="19" t="str">
        <x:v>Tidzon anges som "offset" till UTC.</x:v>
      </x:c>
      <x:c r="G132" s="19" t="str">
        <x:v>DTM+735/C507/2380</x:v>
      </x:c>
      <x:c r="H132" s="19" t="str">
        <x:v>U §3.7</x:v>
      </x:c>
      <x:c r="I132" s="19" t="str">
        <x:v>66</x:v>
      </x:c>
      <x:c r="J132" s="19" t="str">
        <x:v>2026-10-01</x:v>
      </x:c>
      <x:c r="K132" s="19" t="str">
        <x:v>Källtabell avläst; ej runtimeverifierad</x:v>
      </x:c>
    </x:row>
    <x:row r="133" ht="36.599998474121094" customHeight="1">
      <x:c r="A133" s="19" t="str">
        <x:v>UF-error-501-66</x:v>
      </x:c>
      <x:c r="B133" s="19" t="str">
        <x:v>501</x:v>
      </x:c>
      <x:c r="C133" s="19" t="str">
        <x:v>error</x:v>
      </x:c>
      <x:c r="D133" s="19" t="str">
        <x:v>Marknad</x:v>
      </x:c>
      <x:c r="E133" s="19" t="str">
        <x:v>ERR: R</x:v>
      </x:c>
      <x:c r="F133" s="19" t="str">
        <x:v>El eller gas, se kod i MKS (Samma som i det kvitterade meddelandet)</x:v>
      </x:c>
      <x:c r="G133" s="19" t="str">
        <x:v>MKS/7293</x:v>
      </x:c>
      <x:c r="H133" s="19" t="str">
        <x:v>U §3.7</x:v>
      </x:c>
      <x:c r="I133" s="19" t="str">
        <x:v>66</x:v>
      </x:c>
      <x:c r="J133" s="19" t="str">
        <x:v>2026-10-01</x:v>
      </x:c>
      <x:c r="K133" s="19" t="str">
        <x:v>Källtabell avläst; ej runtimeverifierad</x:v>
      </x:c>
    </x:row>
    <x:row r="134" ht="36.599998474121094" customHeight="1">
      <x:c r="A134" s="19" t="str">
        <x:v>UF-error-502-66</x:v>
      </x:c>
      <x:c r="B134" s="19" t="str">
        <x:v>502</x:v>
      </x:c>
      <x:c r="C134" s="19" t="str">
        <x:v>error</x:v>
      </x:c>
      <x:c r="D134" s="19" t="str">
        <x:v>Skede</x:v>
      </x:c>
      <x:c r="E134" s="19" t="str">
        <x:v>ERR: R</x:v>
      </x:c>
      <x:c r="F134" s="19" t="str">
        <x:v>Aktuellt skede, se kod i MKS (Samma som i det kvitterade meddelandet)</x:v>
      </x:c>
      <x:c r="G134" s="19" t="str">
        <x:v>MKS/C332/3496</x:v>
      </x:c>
      <x:c r="H134" s="19" t="str">
        <x:v>U §3.7</x:v>
      </x:c>
      <x:c r="I134" s="19" t="str">
        <x:v>66</x:v>
      </x:c>
      <x:c r="J134" s="19" t="str">
        <x:v>2026-10-01</x:v>
      </x:c>
      <x:c r="K134" s="19" t="str">
        <x:v>Källtabell avläst; ej runtimeverifierad</x:v>
      </x:c>
    </x:row>
    <x:row r="135" ht="32" customHeight="1">
      <x:c r="A135" s="19" t="str">
        <x:v>UF-error-207-66</x:v>
      </x:c>
      <x:c r="B135" s="19" t="str">
        <x:v>207</x:v>
      </x:c>
      <x:c r="C135" s="19" t="str">
        <x:v>error</x:v>
      </x:c>
      <x:c r="D135" s="19" t="str">
        <x:v>Avsändare</x:v>
      </x:c>
      <x:c r="E135" s="19" t="str">
        <x:v>ERR: R</x:v>
      </x:c>
      <x:c r="F135" s="19" t="str">
        <x:v>Juridisk avsändare, Ediel-id</x:v>
      </x:c>
      <x:c r="G135" s="19" t="str">
        <x:v>SG2/NAD+MS/C082/3039</x:v>
      </x:c>
      <x:c r="H135" s="19" t="str">
        <x:v>U §3.7</x:v>
      </x:c>
      <x:c r="I135" s="19" t="str">
        <x:v>66</x:v>
      </x:c>
      <x:c r="J135" s="19" t="str">
        <x:v>2026-10-01</x:v>
      </x:c>
      <x:c r="K135" s="19" t="str">
        <x:v>Källtabell avläst; ej runtimeverifierad</x:v>
      </x:c>
    </x:row>
    <x:row r="136" ht="32" customHeight="1">
      <x:c r="A136" s="19" t="str">
        <x:v>UF-error-208-66</x:v>
      </x:c>
      <x:c r="B136" s="19" t="str">
        <x:v>208</x:v>
      </x:c>
      <x:c r="C136" s="19" t="str">
        <x:v>error</x:v>
      </x:c>
      <x:c r="D136" s="19" t="str">
        <x:v>Mottagare</x:v>
      </x:c>
      <x:c r="E136" s="19" t="str">
        <x:v>ERR: R</x:v>
      </x:c>
      <x:c r="F136" s="19" t="str">
        <x:v>Juridisk mottagare, Ediel-id</x:v>
      </x:c>
      <x:c r="G136" s="19" t="str">
        <x:v>SG2/NAD+MR/C082/3039</x:v>
      </x:c>
      <x:c r="H136" s="19" t="str">
        <x:v>U §3.7</x:v>
      </x:c>
      <x:c r="I136" s="19" t="str">
        <x:v>66</x:v>
      </x:c>
      <x:c r="J136" s="19" t="str">
        <x:v>2026-10-01</x:v>
      </x:c>
      <x:c r="K136" s="19" t="str">
        <x:v>Källtabell avläst; ej runtimeverifierad</x:v>
      </x:c>
    </x:row>
    <x:row r="137" ht="50.400001525878906" customHeight="1">
      <x:c r="A137" s="19" t="str">
        <x:v>UF-error-509-66</x:v>
      </x:c>
      <x:c r="B137" s="19" t="str">
        <x:v>509</x:v>
      </x:c>
      <x:c r="C137" s="19" t="str">
        <x:v>error</x:v>
      </x:c>
      <x:c r="D137" s="19" t="str">
        <x:v>Underordnad roll</x:v>
      </x:c>
      <x:c r="E137" s="19" t="str">
        <x:v>ERR: R</x:v>
      </x:c>
      <x:c r="F137" s="19" t="str">
        <x:v>Kod för den part som ej är ansvarig för meddelandet, för UTILTS ERR blir det avsändarens roll, t ex leverantör, balansansvarig osv, hämtas från mottaget meddelande.</x:v>
      </x:c>
      <x:c r="G137" s="19" t="str">
        <x:v>SG2/NAD/3035</x:v>
      </x:c>
      <x:c r="H137" s="19" t="str">
        <x:v>U §3.7</x:v>
      </x:c>
      <x:c r="I137" s="19" t="str">
        <x:v>66</x:v>
      </x:c>
      <x:c r="J137" s="19" t="str">
        <x:v>2026-10-01</x:v>
      </x:c>
      <x:c r="K137" s="19" t="str">
        <x:v>Källtabell avläst; ej runtimeverifierad</x:v>
      </x:c>
    </x:row>
    <x:row r="138" ht="50.400001525878906" customHeight="1">
      <x:c r="A138" s="19" t="str">
        <x:v>UF-error-505-66</x:v>
      </x:c>
      <x:c r="B138" s="19" t="str">
        <x:v>505</x:v>
      </x:c>
      <x:c r="C138" s="19" t="str">
        <x:v>error</x:v>
      </x:c>
      <x:c r="D138" s="19" t="str">
        <x:v>Transaktionsnr</x:v>
      </x:c>
      <x:c r="E138" s="19" t="str">
        <x:v>ERR: R</x:v>
      </x:c>
      <x:c r="F138" s="19" t="str">
        <x:v>Avsändarens unika id på UTILTS-ERR-transaktionen. Används för att i APERAK-svaret kunna referera till en specifik transaktion.</x:v>
      </x:c>
      <x:c r="G138" s="19" t="str">
        <x:v>SG5/IDE+24/C206/7402</x:v>
      </x:c>
      <x:c r="H138" s="19" t="str">
        <x:v>U §3.7</x:v>
      </x:c>
      <x:c r="I138" s="19" t="str">
        <x:v>66</x:v>
      </x:c>
      <x:c r="J138" s="19" t="str">
        <x:v>2026-10-01</x:v>
      </x:c>
      <x:c r="K138" s="19" t="str">
        <x:v>Källtabell avläst; ej runtimeverifierad</x:v>
      </x:c>
    </x:row>
    <x:row r="139" ht="36.599998474121094" customHeight="1">
      <x:c r="A139" s="19" t="str">
        <x:v>UF-error-209-66</x:v>
      </x:c>
      <x:c r="B139" s="19" t="str">
        <x:v>209</x:v>
      </x:c>
      <x:c r="C139" s="19" t="str">
        <x:v>error</x:v>
      </x:c>
      <x:c r="D139" s="19" t="str">
        <x:v>Anläggningsid</x:v>
      </x:c>
      <x:c r="E139" s="19" t="str">
        <x:v>ERR: D</x:v>
      </x:c>
      <x:c r="F139" s="19" t="str">
        <x:v>Anläggningsid från mottagen transaktion. Ska anges i ERR som svar på UTILTS med enskilda anläggningar (ej reglerobjekt).</x:v>
      </x:c>
      <x:c r="G139" s="19" t="str">
        <x:v>SG5/LOC+172/C517/3225</x:v>
      </x:c>
      <x:c r="H139" s="19" t="str">
        <x:v>U §3.7</x:v>
      </x:c>
      <x:c r="I139" s="19" t="str">
        <x:v>66</x:v>
      </x:c>
      <x:c r="J139" s="19" t="str">
        <x:v>2026-10-01</x:v>
      </x:c>
      <x:c r="K139" s="19" t="str">
        <x:v>Källtabell avläst; ej runtimeverifierad</x:v>
      </x:c>
    </x:row>
    <x:row r="140" ht="50.400001525878906" customHeight="1">
      <x:c r="A140" s="19" t="str">
        <x:v>UF-error-533-66</x:v>
      </x:c>
      <x:c r="B140" s="19" t="str">
        <x:v>533</x:v>
      </x:c>
      <x:c r="C140" s="19" t="str">
        <x:v>error</x:v>
      </x:c>
      <x:c r="D140" s="19" t="str">
        <x:v>Reglerobjektsid</x:v>
      </x:c>
      <x:c r="E140" s="19" t="str">
        <x:v>ERR: D</x:v>
      </x:c>
      <x:c r="F140" s="19" t="str">
        <x:v>Reglerobjektsid från mottagen transaktion. Ska anges i ERR som svar på UTILTS med reglerobjekt (gäller då svar på E66 eller S01).</x:v>
      </x:c>
      <x:c r="G140" s="19" t="str">
        <x:v>SG5/LOC+175/C517/3225</x:v>
      </x:c>
      <x:c r="H140" s="19" t="str">
        <x:v>U §3.7</x:v>
      </x:c>
      <x:c r="I140" s="19" t="str">
        <x:v>66</x:v>
      </x:c>
      <x:c r="J140" s="19" t="str">
        <x:v>2026-10-01</x:v>
      </x:c>
      <x:c r="K140" s="19" t="str">
        <x:v>Källtabell avläst; ej runtimeverifierad</x:v>
      </x:c>
    </x:row>
    <x:row r="141" ht="64.19999694824219" customHeight="1">
      <x:c r="A141" s="19" t="str">
        <x:v>UF-error-260a-66</x:v>
      </x:c>
      <x:c r="B141" s="19" t="str">
        <x:v>260a</x:v>
      </x:c>
      <x:c r="C141" s="19" t="str">
        <x:v>error</x:v>
      </x:c>
      <x:c r="D141" s="19" t="str">
        <x:v>Nätområdesid</x:v>
      </x:c>
      <x:c r="E141" s="19" t="str">
        <x:v>ERR: D</x:v>
      </x:c>
      <x:c r="F141" s="19" t="str">
        <x:v>Nätområdesid, samma som i mottagen transaktion. Ska anges i ERR om det finns i mottagen transaktion och felet ej inträffade tidigare och omöjliggjorde att ange nätområdes-id i kvittensen.</x:v>
      </x:c>
      <x:c r="G141" s="19" t="str">
        <x:v>SG5/LOC+239/C517/3225</x:v>
      </x:c>
      <x:c r="H141" s="19" t="str">
        <x:v>U §3.7</x:v>
      </x:c>
      <x:c r="I141" s="19" t="str">
        <x:v>66</x:v>
      </x:c>
      <x:c r="J141" s="19" t="str">
        <x:v>2026-10-01</x:v>
      </x:c>
      <x:c r="K141" s="19" t="str">
        <x:v>Källtabell avläst; ej runtimeverifierad</x:v>
      </x:c>
    </x:row>
    <x:row r="142" ht="64.19999694824219" customHeight="1">
      <x:c r="A142" s="19" t="str">
        <x:v>UF-error-260b-66</x:v>
      </x:c>
      <x:c r="B142" s="19" t="str">
        <x:v>260b</x:v>
      </x:c>
      <x:c r="C142" s="19" t="str">
        <x:v>error</x:v>
      </x:c>
      <x:c r="D142" s="19" t="str">
        <x:v>Nätområde – utmatning</x:v>
      </x:c>
      <x:c r="E142" s="19" t="str">
        <x:v>ERR: D</x:v>
      </x:c>
      <x:c r="F142" s="19" t="str">
        <x:v>Nätområdesid för utmatning, samma som i mottagen transaktion. Ska anges i ERR om det finns i mottagen transaktion och felet ej inträffade tidigare och omöjliggjorde att ange nätområdes-id i kvittensen.</x:v>
      </x:c>
      <x:c r="G142" s="19" t="str">
        <x:v>SG5/LOC+232/C517/3225</x:v>
      </x:c>
      <x:c r="H142" s="19" t="str">
        <x:v>U §3.7</x:v>
      </x:c>
      <x:c r="I142" s="19" t="str">
        <x:v>66</x:v>
      </x:c>
      <x:c r="J142" s="19" t="str">
        <x:v>2026-10-01</x:v>
      </x:c>
      <x:c r="K142" s="19" t="str">
        <x:v>Källtabell avläst; ej runtimeverifierad</x:v>
      </x:c>
    </x:row>
    <x:row r="143" ht="64.19999694824219" customHeight="1">
      <x:c r="A143" s="19" t="str">
        <x:v>UF-error-260c-67</x:v>
      </x:c>
      <x:c r="B143" s="19" t="str">
        <x:v>260c</x:v>
      </x:c>
      <x:c r="C143" s="19" t="str">
        <x:v>error</x:v>
      </x:c>
      <x:c r="D143" s="19" t="str">
        <x:v>Nätområde – inmatning</x:v>
      </x:c>
      <x:c r="E143" s="19" t="str">
        <x:v>ERR: D</x:v>
      </x:c>
      <x:c r="F143" s="19" t="str">
        <x:v>Nätområdesid för inmatning, samma som i mottagen transaktion. Ska anges i ERR om det finns i mottagen transaktion och felet ej inträffade tidigare och omöjliggjorde att ange nätområdes-id i kvittensen.</x:v>
      </x:c>
      <x:c r="G143" s="19" t="str">
        <x:v>SG5/LOC+233/C517/3225</x:v>
      </x:c>
      <x:c r="H143" s="19" t="str">
        <x:v>U §3.7</x:v>
      </x:c>
      <x:c r="I143" s="19" t="str">
        <x:v>67</x:v>
      </x:c>
      <x:c r="J143" s="19" t="str">
        <x:v>2026-10-01</x:v>
      </x:c>
      <x:c r="K143" s="19" t="str">
        <x:v>Källtabell avläst; ej runtimeverifierad</x:v>
      </x:c>
    </x:row>
    <x:row r="144" ht="50.400001525878906" customHeight="1">
      <x:c r="A144" s="19" t="str">
        <x:v>UF-error-262-67</x:v>
      </x:c>
      <x:c r="B144" s="19" t="str">
        <x:v>262</x:v>
      </x:c>
      <x:c r="C144" s="19" t="str">
        <x:v>error</x:v>
      </x:c>
      <x:c r="D144" s="19" t="str">
        <x:v>Balansansvarig</x:v>
      </x:c>
      <x:c r="E144" s="19" t="str">
        <x:v>ERR: D</x:v>
      </x:c>
      <x:c r="F144" s="19" t="str">
        <x:v>Samma som i mottagen transaktion. Ska anges i ERR om det finns i mottagen transaktion och felet ej inträffade tidigare och omöjliggjorde att ange balansansvarig i kvittensen.</x:v>
      </x:c>
      <x:c r="G144" s="19" t="str">
        <x:v>SG5/NAD+DDK//C082/303 9</x:v>
      </x:c>
      <x:c r="H144" s="19" t="str">
        <x:v>U §3.7</x:v>
      </x:c>
      <x:c r="I144" s="19" t="str">
        <x:v>67</x:v>
      </x:c>
      <x:c r="J144" s="19" t="str">
        <x:v>2026-10-01</x:v>
      </x:c>
      <x:c r="K144" s="19" t="str">
        <x:v>Källtabell avläst; ej runtimeverifierad</x:v>
      </x:c>
    </x:row>
    <x:row r="145" ht="50.400001525878906" customHeight="1">
      <x:c r="A145" s="19" t="str">
        <x:v>UF-error-510-67</x:v>
      </x:c>
      <x:c r="B145" s="19" t="str">
        <x:v>510</x:v>
      </x:c>
      <x:c r="C145" s="19" t="str">
        <x:v>error</x:v>
      </x:c>
      <x:c r="D145" s="19" t="str">
        <x:v>Leverantör</x:v>
      </x:c>
      <x:c r="E145" s="19" t="str">
        <x:v>ERR: D</x:v>
      </x:c>
      <x:c r="F145" s="19" t="str">
        <x:v>Samma som i mottagen transaktion. Ska anges i ERR om det finns i mottagen transaktion och felet ej inträffade tidigare och omöjliggjorde att ange leverantören i kvittensen.</x:v>
      </x:c>
      <x:c r="G145" s="19" t="str">
        <x:v>SG5/NAD+DDQ//C082/303 9</x:v>
      </x:c>
      <x:c r="H145" s="19" t="str">
        <x:v>U §3.7</x:v>
      </x:c>
      <x:c r="I145" s="19" t="str">
        <x:v>67</x:v>
      </x:c>
      <x:c r="J145" s="19" t="str">
        <x:v>2026-10-01</x:v>
      </x:c>
      <x:c r="K145" s="19" t="str">
        <x:v>Källtabell avläst; ej runtimeverifierad</x:v>
      </x:c>
    </x:row>
    <x:row r="146" ht="50.400001525878906" customHeight="1">
      <x:c r="A146" s="19" t="str">
        <x:v>UF-error-524-67</x:v>
      </x:c>
      <x:c r="B146" s="19" t="str">
        <x:v>524</x:v>
      </x:c>
      <x:c r="C146" s="19" t="str">
        <x:v>error</x:v>
      </x:c>
      <x:c r="D146" s="19" t="str">
        <x:v>Köpare</x:v>
      </x:c>
      <x:c r="E146" s="19" t="str">
        <x:v>ERR: D</x:v>
      </x:c>
      <x:c r="F146" s="19" t="str">
        <x:v>Samma som i mottagen transaktion. Ska anges i ERR om det finns i mottagen transaktion och felet ej inträffade tidigare och omöjliggjorde att ange köparen i kvittensen.</x:v>
      </x:c>
      <x:c r="G146" s="19" t="str">
        <x:v>SG5/NAD+BY//C082/3039</x:v>
      </x:c>
      <x:c r="H146" s="19" t="str">
        <x:v>U §3.7</x:v>
      </x:c>
      <x:c r="I146" s="19" t="str">
        <x:v>67</x:v>
      </x:c>
      <x:c r="J146" s="19" t="str">
        <x:v>2026-10-01</x:v>
      </x:c>
      <x:c r="K146" s="19" t="str">
        <x:v>Källtabell avläst; ej runtimeverifierad</x:v>
      </x:c>
    </x:row>
    <x:row r="147" ht="50.400001525878906" customHeight="1">
      <x:c r="A147" s="19" t="str">
        <x:v>UF-error-525-67</x:v>
      </x:c>
      <x:c r="B147" s="19" t="str">
        <x:v>525</x:v>
      </x:c>
      <x:c r="C147" s="19" t="str">
        <x:v>error</x:v>
      </x:c>
      <x:c r="D147" s="19" t="str">
        <x:v>Säljare</x:v>
      </x:c>
      <x:c r="E147" s="19" t="str">
        <x:v>ERR: D</x:v>
      </x:c>
      <x:c r="F147" s="19" t="str">
        <x:v>Samma som i mottagen transaktion. Ska anges i ERR om det finns i mottagen transaktion och felet ej inträffade tidigare och omöjliggjorde att ange säljaren i kvittensen.</x:v>
      </x:c>
      <x:c r="G147" s="19" t="str">
        <x:v>SG5/NAD+SE//C082/3039</x:v>
      </x:c>
      <x:c r="H147" s="19" t="str">
        <x:v>U §3.7</x:v>
      </x:c>
      <x:c r="I147" s="19" t="str">
        <x:v>67</x:v>
      </x:c>
      <x:c r="J147" s="19" t="str">
        <x:v>2026-10-01</x:v>
      </x:c>
      <x:c r="K147" s="19" t="str">
        <x:v>Källtabell avläst; ej runtimeverifierad</x:v>
      </x:c>
    </x:row>
    <x:row r="148" ht="50.400001525878906" customHeight="1">
      <x:c r="A148" s="19" t="str">
        <x:v>UF-error-526-67</x:v>
      </x:c>
      <x:c r="B148" s="19" t="str">
        <x:v>526</x:v>
      </x:c>
      <x:c r="C148" s="19" t="str">
        <x:v>error</x:v>
      </x:c>
      <x:c r="D148" s="19" t="str">
        <x:v>Systemansvarig</x:v>
      </x:c>
      <x:c r="E148" s="19" t="str">
        <x:v>ERR: D</x:v>
      </x:c>
      <x:c r="F148" s="19" t="str">
        <x:v>Samma som i mottagen transaktion. Ska anges i ERR om det finns i mottagen transaktion och felet ej inträffade tidigare och omöjliggjorde att ange systemansvarig i kvittensen.</x:v>
      </x:c>
      <x:c r="G148" s="19" t="str">
        <x:v>SG5/NAD+EZ//C082/3039</x:v>
      </x:c>
      <x:c r="H148" s="19" t="str">
        <x:v>U §3.7</x:v>
      </x:c>
      <x:c r="I148" s="19" t="str">
        <x:v>67</x:v>
      </x:c>
      <x:c r="J148" s="19" t="str">
        <x:v>2026-10-01</x:v>
      </x:c>
      <x:c r="K148" s="19" t="str">
        <x:v>Källtabell avläst; ej runtimeverifierad</x:v>
      </x:c>
    </x:row>
    <x:row r="149" ht="50.400001525878906" customHeight="1">
      <x:c r="A149" s="19" t="str">
        <x:v>UF-error-511-67</x:v>
      </x:c>
      <x:c r="B149" s="19" t="str">
        <x:v>511</x:v>
      </x:c>
      <x:c r="C149" s="19" t="str">
        <x:v>error</x:v>
      </x:c>
      <x:c r="D149" s="19" t="str">
        <x:v>Tidsserieprodukt</x:v>
      </x:c>
      <x:c r="E149" s="19" t="str">
        <x:v>ERR: D</x:v>
      </x:c>
      <x:c r="F149" s="19" t="str">
        <x:v>Samma som i mottagen transaktion. Ska anges i ERR om det finns i mottagen transaktion och felet ej inträffade tidigare och omöjliggjorde att ange tidsserieprodukten i kvittensen.</x:v>
      </x:c>
      <x:c r="G149" s="19" t="str">
        <x:v>SG5/PIA+1/C212/7140 (x5)</x:v>
      </x:c>
      <x:c r="H149" s="19" t="str">
        <x:v>U §3.7</x:v>
      </x:c>
      <x:c r="I149" s="19" t="str">
        <x:v>67</x:v>
      </x:c>
      <x:c r="J149" s="19" t="str">
        <x:v>2026-10-01</x:v>
      </x:c>
      <x:c r="K149" s="19" t="str">
        <x:v>Källtabell avläst; ej runtimeverifierad</x:v>
      </x:c>
    </x:row>
    <x:row r="150" ht="50.400001525878906" customHeight="1">
      <x:c r="A150" s="19" t="str">
        <x:v>UF-error-245-67</x:v>
      </x:c>
      <x:c r="B150" s="19" t="str">
        <x:v>245</x:v>
      </x:c>
      <x:c r="C150" s="19" t="str">
        <x:v>error</x:v>
      </x:c>
      <x:c r="D150" s="19" t="str">
        <x:v>Leveransperiod</x:v>
      </x:c>
      <x:c r="E150" s="19" t="str">
        <x:v>ERR: D</x:v>
      </x:c>
      <x:c r="F150" s="19" t="str">
        <x:v>Samma som i mottagen transaktion. Ska anges i ERR om det finns i mottagen transaktion och felet ej inträffade tidigare och omöjliggjorde att ange leveransperioden i kvittensen.</x:v>
      </x:c>
      <x:c r="G150" s="19" t="str">
        <x:v>SG5/DTM+324/C507/2380</x:v>
      </x:c>
      <x:c r="H150" s="19" t="str">
        <x:v>U §3.7</x:v>
      </x:c>
      <x:c r="I150" s="19" t="str">
        <x:v>67</x:v>
      </x:c>
      <x:c r="J150" s="19" t="str">
        <x:v>2026-10-01</x:v>
      </x:c>
      <x:c r="K150" s="19" t="str">
        <x:v>Källtabell avläst; ej runtimeverifierad</x:v>
      </x:c>
    </x:row>
    <x:row r="151" ht="64.19999694824219" customHeight="1">
      <x:c r="A151" s="19" t="str">
        <x:v>UF-error-223-67</x:v>
      </x:c>
      <x:c r="B151" s="19" t="str">
        <x:v>223</x:v>
      </x:c>
      <x:c r="C151" s="19" t="str">
        <x:v>error</x:v>
      </x:c>
      <x:c r="D151" s="19" t="str">
        <x:v>Anledning till transaktionen</x:v>
      </x:c>
      <x:c r="E151" s="19" t="str">
        <x:v>ERR: D</x:v>
      </x:c>
      <x:c r="F151" s="19" t="str">
        <x:v>Samma som i mottaget meddelande. Ska anges i ERR om det finns i mottagen transaktion och felet ej inträffade tidigare och omöjliggjorde att ange anledning till transaktionen i kvittensen.</x:v>
      </x:c>
      <x:c r="G151" s="19" t="str">
        <x:v>SG5/STS+7/C556/9013</x:v>
      </x:c>
      <x:c r="H151" s="19" t="str">
        <x:v>U §3.7</x:v>
      </x:c>
      <x:c r="I151" s="19" t="str">
        <x:v>67</x:v>
      </x:c>
      <x:c r="J151" s="19" t="str">
        <x:v>2026-10-01</x:v>
      </x:c>
      <x:c r="K151" s="19" t="str">
        <x:v>Källtabell avläst; ej runtimeverifierad</x:v>
      </x:c>
    </x:row>
    <x:row r="152" ht="32" customHeight="1">
      <x:c r="A152" s="19" t="str">
        <x:v>UF-error-528-67</x:v>
      </x:c>
      <x:c r="B152" s="19" t="str">
        <x:v>528</x:v>
      </x:c>
      <x:c r="C152" s="19" t="str">
        <x:v>error</x:v>
      </x:c>
      <x:c r="D152" s="19" t="str">
        <x:v>Svarskod</x:v>
      </x:c>
      <x:c r="E152" s="19" t="str">
        <x:v>ERR: R</x:v>
      </x:c>
      <x:c r="F152" s="19" t="str">
        <x:v>Alltid kod 41 (avvisad)</x:v>
      </x:c>
      <x:c r="G152" s="19" t="str">
        <x:v>SG5/STS+E01/C555/4405</x:v>
      </x:c>
      <x:c r="H152" s="19" t="str">
        <x:v>U §3.7</x:v>
      </x:c>
      <x:c r="I152" s="19" t="str">
        <x:v>67</x:v>
      </x:c>
      <x:c r="J152" s="19" t="str">
        <x:v>2026-10-01</x:v>
      </x:c>
      <x:c r="K152" s="19" t="str">
        <x:v>Källtabell avläst; ej runtimeverifierad</x:v>
      </x:c>
    </x:row>
    <x:row r="153" ht="32" customHeight="1">
      <x:c r="A153" s="19" t="str">
        <x:v>UF-error-531-67</x:v>
      </x:c>
      <x:c r="B153" s="19" t="str">
        <x:v>531</x:v>
      </x:c>
      <x:c r="C153" s="19" t="str">
        <x:v>error</x:v>
      </x:c>
      <x:c r="D153" s="19" t="str">
        <x:v>Avvisningsorsak</x:v>
      </x:c>
      <x:c r="E153" s="19" t="str">
        <x:v>ERR: R</x:v>
      </x:c>
      <x:c r="F153" s="19" t="str">
        <x:v>Avvisningsorsak</x:v>
      </x:c>
      <x:c r="G153" s="19" t="str">
        <x:v>SG5/STS+E01/C556/9013</x:v>
      </x:c>
      <x:c r="H153" s="19" t="str">
        <x:v>U §3.7</x:v>
      </x:c>
      <x:c r="I153" s="19" t="str">
        <x:v>67</x:v>
      </x:c>
      <x:c r="J153" s="19" t="str">
        <x:v>2026-10-01</x:v>
      </x:c>
      <x:c r="K153" s="19" t="str">
        <x:v>Källtabell avläst; ej runtimeverifierad</x:v>
      </x:c>
    </x:row>
    <x:row r="154" ht="36.599998474121094" customHeight="1">
      <x:c r="A154" s="19" t="str">
        <x:v>UF-error-503-67</x:v>
      </x:c>
      <x:c r="B154" s="19" t="str">
        <x:v>503</x:v>
      </x:c>
      <x:c r="C154" s="19" t="str">
        <x:v>error</x:v>
      </x:c>
      <x:c r="D154" s="19" t="str">
        <x:v>Referens till meddelandetyp</x:v>
      </x:c>
      <x:c r="E154" s="19" t="str">
        <x:v>ERR: R</x:v>
      </x:c>
      <x:c r="F154" s="19" t="str">
        <x:v>Referens till UTILTS-meddelandetyp, tas från BGM/C106/1001 i mottaget meddelande</x:v>
      </x:c>
      <x:c r="G154" s="19" t="str">
        <x:v>SG6/RFF/1153</x:v>
      </x:c>
      <x:c r="H154" s="19" t="str">
        <x:v>U §3.7</x:v>
      </x:c>
      <x:c r="I154" s="19" t="str">
        <x:v>67</x:v>
      </x:c>
      <x:c r="J154" s="19" t="str">
        <x:v>2026-10-01</x:v>
      </x:c>
      <x:c r="K154" s="19" t="str">
        <x:v>Källtabell avläst; ej runtimeverifierad</x:v>
      </x:c>
    </x:row>
    <x:row r="155" ht="36.599998474121094" customHeight="1">
      <x:c r="A155" s="19" t="str">
        <x:v>UF-error-504-68</x:v>
      </x:c>
      <x:c r="B155" s="19" t="str">
        <x:v>504</x:v>
      </x:c>
      <x:c r="C155" s="19" t="str">
        <x:v>error</x:v>
      </x:c>
      <x:c r="D155" s="19" t="str">
        <x:v>Referens till meddelandeid</x:v>
      </x:c>
      <x:c r="E155" s="19" t="str">
        <x:v>ERR: R</x:v>
      </x:c>
      <x:c r="F155" s="19" t="str">
        <x:v>Referens till urspr. UTILTS meddelandeid (från UTILTS BGM/C106/1004).</x:v>
      </x:c>
      <x:c r="G155" s="19" t="str">
        <x:v>SG6/RFF/1154</x:v>
      </x:c>
      <x:c r="H155" s="19" t="str">
        <x:v>U §3.7</x:v>
      </x:c>
      <x:c r="I155" s="19" t="str">
        <x:v>68</x:v>
      </x:c>
      <x:c r="J155" s="19" t="str">
        <x:v>2026-10-01</x:v>
      </x:c>
      <x:c r="K155" s="19" t="str">
        <x:v>Källtabell avläst; ej runtimeverifierad</x:v>
      </x:c>
    </x:row>
    <x:row r="156" ht="36.599998474121094" customHeight="1">
      <x:c r="A156" s="19" t="str">
        <x:v>UF-error-529-68</x:v>
      </x:c>
      <x:c r="B156" s="19" t="str">
        <x:v>529</x:v>
      </x:c>
      <x:c r="C156" s="19" t="str">
        <x:v>error</x:v>
      </x:c>
      <x:c r="D156" s="19" t="str">
        <x:v>Referens till transaktionsnr</x:v>
      </x:c>
      <x:c r="E156" s="19" t="str">
        <x:v>ERR: R</x:v>
      </x:c>
      <x:c r="F156" s="19" t="str">
        <x:v>Referens till transaktionsnr i mottagen transaktion från IDE/C206/7402</x:v>
      </x:c>
      <x:c r="G156" s="19" t="str">
        <x:v>SG6/RFF+TN/1154</x:v>
      </x:c>
      <x:c r="H156" s="19" t="str">
        <x:v>U §3.7</x:v>
      </x:c>
      <x:c r="I156" s="19" t="str">
        <x:v>68</x:v>
      </x:c>
      <x:c r="J156" s="19" t="str">
        <x:v>2026-10-01</x:v>
      </x:c>
      <x:c r="K156" s="19" t="str">
        <x:v>Källtabell avläst; ej runtimeverifierad</x:v>
      </x:c>
    </x:row>
  </x:sheetData>
  <x:mergeCells>
    <x:mergeCell ref="A1:K1"/>
    <x:mergeCell ref="A2:K2"/>
  </x:mergeCells>
  <x:pageMargins left="0.7" right="0.7" top="0.75" bottom="0.75" header="0.3" footer="0.3"/>
  <x:tableParts count="1">
    <x:tablePart xmlns:r="http://schemas.openxmlformats.org/officeDocument/2006/relationships" r:id="R5b953e89a6624f38"/>
  </x:tableParts>
</x:worksheet>
</file>

<file path=xl/worksheets/sheet9.xml><?xml version="1.0" encoding="utf-8"?>
<x:worksheet xmlns:x="http://schemas.openxmlformats.org/spreadsheetml/2006/main">
  <x:sheetFormatPr defaultRowHeight="15"/>
  <x:cols>
    <x:col min="1" max="1" width="22" hidden="0" customWidth="1"/>
    <x:col min="2" max="2" width="43" hidden="0" customWidth="1"/>
    <x:col min="3" max="3" width="18" hidden="0" customWidth="1"/>
    <x:col min="4" max="4" width="35" hidden="0" customWidth="1"/>
    <x:col min="5" max="5" width="72" hidden="0" customWidth="1"/>
    <x:col min="6" max="6" width="55" hidden="0" customWidth="1"/>
    <x:col min="7" max="7" width="28" hidden="0" customWidth="1"/>
    <x:col min="8" max="8" width="45" hidden="0" customWidth="1"/>
  </x:cols>
  <x:sheetData>
    <x:row r="1" ht="30" customHeight="1">
      <x:c r="A1" s="3" t="str">
        <x:v>UTILTS-kodkontroll · Gridex Ediel v2</x:v>
      </x:c>
      <x:c r="B1" s="3"/>
      <x:c r="C1" s="3"/>
      <x:c r="D1" s="3"/>
      <x:c r="E1" s="3"/>
      <x:c r="F1" s="3"/>
      <x:c r="G1" s="3"/>
      <x:c r="H1" s="3"/>
    </x:row>
    <x:row r="2" ht="34" customHeight="1">
      <x:c r="A2" s="8" t="str">
        <x:v>115 källrader ur bilaga 1. Läs med full segmentstruktur, huvud- och transaktionsnivå samt aktuell profil.</x:v>
      </x:c>
      <x:c r="B2" s="8"/>
      <x:c r="C2" s="8"/>
      <x:c r="D2" s="8"/>
      <x:c r="E2" s="8"/>
      <x:c r="F2" s="8"/>
      <x:c r="G2" s="8"/>
      <x:c r="H2" s="8"/>
    </x:row>
    <x:row r="4" ht="37" customHeight="1">
      <x:c r="A4" s="14" t="str">
        <x:v>Kontroll-id</x:v>
      </x:c>
      <x:c r="B4" s="14" t="str">
        <x:v>Locator</x:v>
      </x:c>
      <x:c r="C4" s="14" t="str">
        <x:v>Fältreferens</x:v>
      </x:c>
      <x:c r="D4" s="14" t="str">
        <x:v>Namn</x:v>
      </x:c>
      <x:c r="E4" s="14" t="str">
        <x:v>Tillåtet / villkor</x:v>
      </x:c>
      <x:c r="F4" s="14" t="str">
        <x:v>Notering</x:v>
      </x:c>
      <x:c r="G4" s="14" t="str">
        <x:v>Källa</x:v>
      </x:c>
      <x:c r="H4" s="14" t="str">
        <x:v>Status</x:v>
      </x:c>
    </x:row>
    <x:row r="5" ht="50.400001525878906" customHeight="1">
      <x:c r="A5" s="19" t="str">
        <x:v>UG-121-2</x:v>
      </x:c>
      <x:c r="B5" s="19" t="str">
        <x:v>UNB/0026</x:v>
      </x:c>
      <x:c r="C5" s="19" t="str">
        <x:v>311</x:v>
      </x:c>
      <x:c r="D5" s="19" t="str">
        <x:v>Application Reference</x:v>
      </x:c>
      <x:c r="E5" s="19" t="str">
        <x:v>Giltiga koder för Application Reference, se ovan 3.7. För mer information se Ediels generella tekniska anvisning.</x:v>
      </x:c>
      <x:c r="F5" s="19" t="str"/>
      <x:c r="G5" s="19" t="str">
        <x:v>U bilaga 1 s.121</x:v>
      </x:c>
      <x:c r="H5" s="19" t="str">
        <x:v>Källvillkor avläst; tolka ihop med parent/meddelandeprofil och detaljerad segmentdefinition.</x:v>
      </x:c>
    </x:row>
    <x:row r="6" ht="50.400001525878906" customHeight="1">
      <x:c r="A6" s="19" t="str">
        <x:v>UG-121-3</x:v>
      </x:c>
      <x:c r="B6" s="19" t="str">
        <x:v>UNH/S009/0065</x:v>
      </x:c>
      <x:c r="C6" s="19" t="str">
        <x:v>-</x:v>
      </x:c>
      <x:c r="D6" s="19" t="str"/>
      <x:c r="E6" s="19" t="str">
        <x:v>UTILTS</x:v>
      </x:c>
      <x:c r="F6" s="19" t="str"/>
      <x:c r="G6" s="19" t="str">
        <x:v>U bilaga 1 s.121</x:v>
      </x:c>
      <x:c r="H6" s="19" t="str">
        <x:v>Källvillkor avläst; tolka ihop med parent/meddelandeprofil och detaljerad segmentdefinition.</x:v>
      </x:c>
    </x:row>
    <x:row r="7" ht="50.400001525878906" customHeight="1">
      <x:c r="A7" s="19" t="str">
        <x:v>UG-121-4</x:v>
      </x:c>
      <x:c r="B7" s="19" t="str">
        <x:v>UNH/S009/0052</x:v>
      </x:c>
      <x:c r="C7" s="19" t="str">
        <x:v>-</x:v>
      </x:c>
      <x:c r="D7" s="19" t="str"/>
      <x:c r="E7" s="19" t="str">
        <x:v>D</x:v>
      </x:c>
      <x:c r="F7" s="19" t="str"/>
      <x:c r="G7" s="19" t="str">
        <x:v>U bilaga 1 s.121</x:v>
      </x:c>
      <x:c r="H7" s="19" t="str">
        <x:v>Källvillkor avläst; tolka ihop med parent/meddelandeprofil och detaljerad segmentdefinition.</x:v>
      </x:c>
    </x:row>
    <x:row r="8" ht="50.400001525878906" customHeight="1">
      <x:c r="A8" s="19" t="str">
        <x:v>UG-121-5</x:v>
      </x:c>
      <x:c r="B8" s="19" t="str">
        <x:v>UNH/S009/0054</x:v>
      </x:c>
      <x:c r="C8" s="19" t="str">
        <x:v>-</x:v>
      </x:c>
      <x:c r="D8" s="19" t="str"/>
      <x:c r="E8" s="19" t="str">
        <x:v>02B</x:v>
      </x:c>
      <x:c r="F8" s="19" t="str"/>
      <x:c r="G8" s="19" t="str">
        <x:v>U bilaga 1 s.121</x:v>
      </x:c>
      <x:c r="H8" s="19" t="str">
        <x:v>Källvillkor avläst; tolka ihop med parent/meddelandeprofil och detaljerad segmentdefinition.</x:v>
      </x:c>
    </x:row>
    <x:row r="9" ht="50.400001525878906" customHeight="1">
      <x:c r="A9" s="19" t="str">
        <x:v>UG-121-6</x:v>
      </x:c>
      <x:c r="B9" s="19" t="str">
        <x:v>UNH/S009/0051</x:v>
      </x:c>
      <x:c r="C9" s="19" t="str">
        <x:v>-</x:v>
      </x:c>
      <x:c r="D9" s="19" t="str"/>
      <x:c r="E9" s="19" t="str">
        <x:v>UN</x:v>
      </x:c>
      <x:c r="F9" s="19" t="str"/>
      <x:c r="G9" s="19" t="str">
        <x:v>U bilaga 1 s.121</x:v>
      </x:c>
      <x:c r="H9" s="19" t="str">
        <x:v>Källvillkor avläst; tolka ihop med parent/meddelandeprofil och detaljerad segmentdefinition.</x:v>
      </x:c>
    </x:row>
    <x:row r="10" ht="50.400001525878906" customHeight="1">
      <x:c r="A10" s="19" t="str">
        <x:v>UG-121-7</x:v>
      </x:c>
      <x:c r="B10" s="19" t="str">
        <x:v>UNH/S009/0057</x:v>
      </x:c>
      <x:c r="C10" s="19" t="str">
        <x:v>312</x:v>
      </x:c>
      <x:c r="D10" s="19" t="str">
        <x:v>Version</x:v>
      </x:c>
      <x:c r="E10" s="19" t="str">
        <x:v>E5SE5A</x:v>
      </x:c>
      <x:c r="F10" s="19" t="str">
        <x:v>Aktuell samt föregående version (under en</x:v>
      </x:c>
      <x:c r="G10" s="19" t="str">
        <x:v>U bilaga 1 s.121</x:v>
      </x:c>
      <x:c r="H10" s="19" t="str">
        <x:v>Källvillkor avläst; tolka ihop med parent/meddelandeprofil och detaljerad segmentdefinition.</x:v>
      </x:c>
    </x:row>
    <x:row r="11" ht="50.400001525878906" customHeight="1">
      <x:c r="A11" s="19" t="str">
        <x:v>UG-122-4</x:v>
      </x:c>
      <x:c r="B11" s="19" t="str">
        <x:v>BGM/C002/1001</x:v>
      </x:c>
      <x:c r="C11" s="19" t="str">
        <x:v>202</x:v>
      </x:c>
      <x:c r="D11" s="19" t="str">
        <x:v>Dokumentnamn, kod</x:v>
      </x:c>
      <x:c r="E11" s="19" t="str">
        <x:v>E30, E31, E66, E72, E73, E74, S01, S02, S03, S04, S05, S06, S07, ERR</x:v>
      </x:c>
      <x:c r="F11" s="19" t="str"/>
      <x:c r="G11" s="19" t="str">
        <x:v>U bilaga 1 s.122</x:v>
      </x:c>
      <x:c r="H11" s="19" t="str">
        <x:v>Källvillkor avläst; tolka ihop med parent/meddelandeprofil och detaljerad segmentdefinition.</x:v>
      </x:c>
    </x:row>
    <x:row r="12" ht="50.400001525878906" customHeight="1">
      <x:c r="A12" s="19" t="str">
        <x:v>UG-122-5</x:v>
      </x:c>
      <x:c r="B12" s="19" t="str">
        <x:v>BGM/C002/1131</x:v>
      </x:c>
      <x:c r="C12" s="19" t="str">
        <x:v>202</x:v>
      </x:c>
      <x:c r="D12" s="19" t="str"/>
      <x:c r="E12" s="19" t="str">
        <x:v>SVK om 1001=S01–S07</x:v>
      </x:c>
      <x:c r="F12" s="19" t="str"/>
      <x:c r="G12" s="19" t="str">
        <x:v>U bilaga 1 s.122</x:v>
      </x:c>
      <x:c r="H12" s="19" t="str">
        <x:v>Källvillkor avläst; tolka ihop med parent/meddelandeprofil och detaljerad segmentdefinition.</x:v>
      </x:c>
    </x:row>
    <x:row r="13" ht="50.400001525878906" customHeight="1">
      <x:c r="A13" s="19" t="str">
        <x:v>UG-122-6</x:v>
      </x:c>
      <x:c r="B13" s="19" t="str">
        <x:v>BGM/C002/3055</x:v>
      </x:c>
      <x:c r="C13" s="19" t="str">
        <x:v>202</x:v>
      </x:c>
      <x:c r="D13" s="19" t="str"/>
      <x:c r="E13" s="19" t="str">
        <x:v>260</x:v>
      </x:c>
      <x:c r="F13" s="19" t="str"/>
      <x:c r="G13" s="19" t="str">
        <x:v>U bilaga 1 s.122</x:v>
      </x:c>
      <x:c r="H13" s="19" t="str">
        <x:v>Källvillkor avläst; tolka ihop med parent/meddelandeprofil och detaljerad segmentdefinition.</x:v>
      </x:c>
    </x:row>
    <x:row r="14" ht="50.400001525878906" customHeight="1">
      <x:c r="A14" s="19" t="str">
        <x:v>UG-122-7</x:v>
      </x:c>
      <x:c r="B14" s="19" t="str">
        <x:v>BGM/C106/1004</x:v>
      </x:c>
      <x:c r="C14" s="19" t="str">
        <x:v>203</x:v>
      </x:c>
      <x:c r="D14" s="19" t="str">
        <x:v>Dokument id</x:v>
      </x:c>
      <x:c r="E14" s="19" t="str">
        <x:v>Ej blankt Kontrollera att dokument id är unikt över tid</x:v>
      </x:c>
      <x:c r="F14" s="19" t="str">
        <x:v>Felkod 42 används om dokument id ej är unikt över tid.</x:v>
      </x:c>
      <x:c r="G14" s="19" t="str">
        <x:v>U bilaga 1 s.122</x:v>
      </x:c>
      <x:c r="H14" s="19" t="str">
        <x:v>Källvillkor avläst; tolka ihop med parent/meddelandeprofil och detaljerad segmentdefinition.</x:v>
      </x:c>
    </x:row>
    <x:row r="15" ht="50.400001525878906" customHeight="1">
      <x:c r="A15" s="19" t="str">
        <x:v>UG-122-8</x:v>
      </x:c>
      <x:c r="B15" s="19" t="str">
        <x:v>BGM/1225</x:v>
      </x:c>
      <x:c r="C15" s="19" t="str">
        <x:v>204</x:v>
      </x:c>
      <x:c r="D15" s="19" t="str">
        <x:v>Meddelandefunktion</x:v>
      </x:c>
      <x:c r="E15" s="19" t="str">
        <x:v>5, 9</x:v>
      </x:c>
      <x:c r="F15" s="19" t="str"/>
      <x:c r="G15" s="19" t="str">
        <x:v>U bilaga 1 s.122</x:v>
      </x:c>
      <x:c r="H15" s="19" t="str">
        <x:v>Källvillkor avläst; tolka ihop med parent/meddelandeprofil och detaljerad segmentdefinition.</x:v>
      </x:c>
    </x:row>
    <x:row r="16" ht="50.400001525878906" customHeight="1">
      <x:c r="A16" s="19" t="str">
        <x:v>UG-122-9</x:v>
      </x:c>
      <x:c r="B16" s="19" t="str">
        <x:v>BGM/4343</x:v>
      </x:c>
      <x:c r="C16" s="19" t="str">
        <x:v>313</x:v>
      </x:c>
      <x:c r="D16" s="19" t="str">
        <x:v>Kvittensbegäran</x:v>
      </x:c>
      <x:c r="E16" s="19" t="str">
        <x:v>AB, NA</x:v>
      </x:c>
      <x:c r="F16" s="19" t="str"/>
      <x:c r="G16" s="19" t="str">
        <x:v>U bilaga 1 s.122</x:v>
      </x:c>
      <x:c r="H16" s="19" t="str">
        <x:v>Källvillkor avläst; tolka ihop med parent/meddelandeprofil och detaljerad segmentdefinition.</x:v>
      </x:c>
    </x:row>
    <x:row r="17" ht="50.400001525878906" customHeight="1">
      <x:c r="A17" s="19" t="str">
        <x:v>UG-122-11</x:v>
      </x:c>
      <x:c r="B17" s="19" t="str">
        <x:v>DTM+137/C507/2005</x:v>
      </x:c>
      <x:c r="C17" s="19" t="str">
        <x:v>205 (om möjligt)</x:v>
      </x:c>
      <x:c r="D17" s="19" t="str"/>
      <x:c r="E17" s="19" t="str">
        <x:v>137</x:v>
      </x:c>
      <x:c r="F17" s="19" t="str"/>
      <x:c r="G17" s="19" t="str">
        <x:v>U bilaga 1 s.122</x:v>
      </x:c>
      <x:c r="H17" s="19" t="str">
        <x:v>Källvillkor avläst; tolka ihop med parent/meddelandeprofil och detaljerad segmentdefinition.</x:v>
      </x:c>
    </x:row>
    <x:row r="18" ht="50.400001525878906" customHeight="1">
      <x:c r="A18" s="19" t="str">
        <x:v>UG-122-12</x:v>
      </x:c>
      <x:c r="B18" s="19" t="str">
        <x:v>DTM+137/C507/2380</x:v>
      </x:c>
      <x:c r="C18" s="19" t="str">
        <x:v>205</x:v>
      </x:c>
      <x:c r="D18" s="19" t="str">
        <x:v>Meddelandedatum</x:v>
      </x:c>
      <x:c r="E18" s="19" t="str">
        <x:v>Datum enligt format 203 (CCYYMMDDHHmm) Ej framtida datum</x:v>
      </x:c>
      <x:c r="F18" s="19" t="str"/>
      <x:c r="G18" s="19" t="str">
        <x:v>U bilaga 1 s.122</x:v>
      </x:c>
      <x:c r="H18" s="19" t="str">
        <x:v>Källvillkor avläst; tolka ihop med parent/meddelandeprofil och detaljerad segmentdefinition.</x:v>
      </x:c>
    </x:row>
    <x:row r="19" ht="50.400001525878906" customHeight="1">
      <x:c r="A19" s="19" t="str">
        <x:v>UG-122-13</x:v>
      </x:c>
      <x:c r="B19" s="19" t="str">
        <x:v>DTM+137/C507/2379</x:v>
      </x:c>
      <x:c r="C19" s="19" t="str">
        <x:v>205</x:v>
      </x:c>
      <x:c r="D19" s="19" t="str"/>
      <x:c r="E19" s="19" t="str">
        <x:v>203</x:v>
      </x:c>
      <x:c r="F19" s="19" t="str"/>
      <x:c r="G19" s="19" t="str">
        <x:v>U bilaga 1 s.122</x:v>
      </x:c>
      <x:c r="H19" s="19" t="str">
        <x:v>Källvillkor avläst; tolka ihop med parent/meddelandeprofil och detaljerad segmentdefinition.</x:v>
      </x:c>
    </x:row>
    <x:row r="20" ht="50.400001525878906" customHeight="1">
      <x:c r="A20" s="19" t="str">
        <x:v>UG-122-15</x:v>
      </x:c>
      <x:c r="B20" s="19" t="str">
        <x:v>DTM+735/C507/2005</x:v>
      </x:c>
      <x:c r="C20" s="19" t="str">
        <x:v>206 (om möjligt)</x:v>
      </x:c>
      <x:c r="D20" s="19" t="str"/>
      <x:c r="E20" s="19" t="str">
        <x:v>735</x:v>
      </x:c>
      <x:c r="F20" s="19" t="str"/>
      <x:c r="G20" s="19" t="str">
        <x:v>U bilaga 1 s.122</x:v>
      </x:c>
      <x:c r="H20" s="19" t="str">
        <x:v>Källvillkor avläst; tolka ihop med parent/meddelandeprofil och detaljerad segmentdefinition.</x:v>
      </x:c>
    </x:row>
    <x:row r="21" ht="50.400001525878906" customHeight="1">
      <x:c r="A21" s="19" t="str">
        <x:v>UG-122-16</x:v>
      </x:c>
      <x:c r="B21" s="19" t="str">
        <x:v>DTM+735/C507/2380</x:v>
      </x:c>
      <x:c r="C21" s="19" t="str">
        <x:v>206</x:v>
      </x:c>
      <x:c r="D21" s="19" t="str">
        <x:v>Tidzon</x:v>
      </x:c>
      <x:c r="E21" s="19" t="str">
        <x:v>+0100</x:v>
      </x:c>
      <x:c r="F21" s="19" t="str">
        <x:v>+0100 gäller endast samma tidzon som Sverige, i meddelanden från andra länder kan annan tidzon (offset till UTC) förekomma.</x:v>
      </x:c>
      <x:c r="G21" s="19" t="str">
        <x:v>U bilaga 1 s.122</x:v>
      </x:c>
      <x:c r="H21" s="19" t="str">
        <x:v>Källvillkor avläst; tolka ihop med parent/meddelandeprofil och detaljerad segmentdefinition.</x:v>
      </x:c>
    </x:row>
    <x:row r="22" ht="50.400001525878906" customHeight="1">
      <x:c r="A22" s="19" t="str">
        <x:v>UG-122-17</x:v>
      </x:c>
      <x:c r="B22" s="19" t="str">
        <x:v>DTM+735/C507/2379</x:v>
      </x:c>
      <x:c r="C22" s="19" t="str">
        <x:v>206</x:v>
      </x:c>
      <x:c r="D22" s="19" t="str"/>
      <x:c r="E22" s="19" t="str">
        <x:v>406</x:v>
      </x:c>
      <x:c r="F22" s="19" t="str"/>
      <x:c r="G22" s="19" t="str">
        <x:v>U bilaga 1 s.122</x:v>
      </x:c>
      <x:c r="H22" s="19" t="str">
        <x:v>Källvillkor avläst; tolka ihop med parent/meddelandeprofil och detaljerad segmentdefinition.</x:v>
      </x:c>
    </x:row>
    <x:row r="23" ht="50.400001525878906" customHeight="1">
      <x:c r="A23" s="19" t="str">
        <x:v>UG-122-19</x:v>
      </x:c>
      <x:c r="B23" s="19" t="str">
        <x:v>MKS/7293</x:v>
      </x:c>
      <x:c r="C23" s="19" t="str">
        <x:v>501</x:v>
      </x:c>
      <x:c r="D23" s="19" t="str">
        <x:v>Marknad</x:v>
      </x:c>
      <x:c r="E23" s="19" t="str">
        <x:v>23, 27</x:v>
      </x:c>
      <x:c r="F23" s="19" t="str"/>
      <x:c r="G23" s="19" t="str">
        <x:v>U bilaga 1 s.122</x:v>
      </x:c>
      <x:c r="H23" s="19" t="str">
        <x:v>Källvillkor avläst; tolka ihop med parent/meddelandeprofil och detaljerad segmentdefinition.</x:v>
      </x:c>
    </x:row>
    <x:row r="24" ht="50.400001525878906" customHeight="1">
      <x:c r="A24" s="19" t="str">
        <x:v>UG-122-20</x:v>
      </x:c>
      <x:c r="B24" s="19" t="str">
        <x:v>MKS/C332/3496</x:v>
      </x:c>
      <x:c r="C24" s="19" t="str">
        <x:v>502</x:v>
      </x:c>
      <x:c r="D24" s="19" t="str">
        <x:v>Skede</x:v>
      </x:c>
      <x:c r="E24" s="19" t="str">
        <x:v>E02, E03, E04</x:v>
      </x:c>
      <x:c r="F24" s="19" t="str"/>
      <x:c r="G24" s="19" t="str">
        <x:v>U bilaga 1 s.122</x:v>
      </x:c>
      <x:c r="H24" s="19" t="str">
        <x:v>Källvillkor avläst; tolka ihop med parent/meddelandeprofil och detaljerad segmentdefinition.</x:v>
      </x:c>
    </x:row>
    <x:row r="25" ht="50.400001525878906" customHeight="1">
      <x:c r="A25" s="19" t="str">
        <x:v>UG-122-21</x:v>
      </x:c>
      <x:c r="B25" s="19" t="str">
        <x:v>MKS/C332/3055</x:v>
      </x:c>
      <x:c r="C25" s="19" t="str">
        <x:v>502</x:v>
      </x:c>
      <x:c r="D25" s="19" t="str"/>
      <x:c r="E25" s="19" t="str">
        <x:v>260</x:v>
      </x:c>
      <x:c r="F25" s="19" t="str"/>
      <x:c r="G25" s="19" t="str">
        <x:v>U bilaga 1 s.122</x:v>
      </x:c>
      <x:c r="H25" s="19" t="str">
        <x:v>Källvillkor avläst; tolka ihop med parent/meddelandeprofil och detaljerad segmentdefinition.</x:v>
      </x:c>
    </x:row>
    <x:row r="26" ht="50.400001525878906" customHeight="1">
      <x:c r="A26" s="19" t="str">
        <x:v>UG-122-23</x:v>
      </x:c>
      <x:c r="B26" s="19" t="str">
        <x:v>SG2/NAD/3035</x:v>
      </x:c>
      <x:c r="C26" s="19" t="str">
        <x:v>207 eller 208 (om möjligt)</x:v>
      </x:c>
      <x:c r="D26" s="19" t="str"/>
      <x:c r="E26" s="19" t="str">
        <x:v>MS, MR</x:v>
      </x:c>
      <x:c r="F26" s="19" t="str"/>
      <x:c r="G26" s="19" t="str">
        <x:v>U bilaga 1 s.122</x:v>
      </x:c>
      <x:c r="H26" s="19" t="str">
        <x:v>Källvillkor avläst; tolka ihop med parent/meddelandeprofil och detaljerad segmentdefinition.</x:v>
      </x:c>
    </x:row>
    <x:row r="27" ht="50.400001525878906" customHeight="1">
      <x:c r="A27" s="19" t="str">
        <x:v>UG-122-24</x:v>
      </x:c>
      <x:c r="B27" s="19" t="str">
        <x:v>SG2/NAD/C082/3039</x:v>
      </x:c>
      <x:c r="C27" s="19" t="str">
        <x:v>207 eller 208</x:v>
      </x:c>
      <x:c r="D27" s="19" t="str">
        <x:v>Avsändare eller Mottagare</x:v>
      </x:c>
      <x:c r="E27" s="19" t="str">
        <x:v>Om 1131=SVK: Kontrollera femsiffrigt (Ediel-id) Om 3055=9 eller 305: kontrollera checksiffra.</x:v>
      </x:c>
      <x:c r="F27" s="19" t="str">
        <x:v>* Algoritm för kontroll av GS1-checksiffra, se längst ner i bilagan.</x:v>
      </x:c>
      <x:c r="G27" s="19" t="str">
        <x:v>U bilaga 1 s.122</x:v>
      </x:c>
      <x:c r="H27" s="19" t="str">
        <x:v>Källvillkor avläst; tolka ihop med parent/meddelandeprofil och detaljerad segmentdefinition.</x:v>
      </x:c>
    </x:row>
    <x:row r="28" ht="50.400001525878906" customHeight="1">
      <x:c r="A28" s="19" t="str">
        <x:v>UG-123-2</x:v>
      </x:c>
      <x:c r="B28" s="19" t="str">
        <x:v>SG2/NAD/C082/1131</x:v>
      </x:c>
      <x:c r="C28" s="19" t="str">
        <x:v>207 eller 208</x:v>
      </x:c>
      <x:c r="D28" s="19" t="str"/>
      <x:c r="E28" s="19" t="str">
        <x:v>SVK om 3055=260</x:v>
      </x:c>
      <x:c r="F28" s="19" t="str"/>
      <x:c r="G28" s="19" t="str">
        <x:v>U bilaga 1 s.123</x:v>
      </x:c>
      <x:c r="H28" s="19" t="str">
        <x:v>Källvillkor avläst; tolka ihop med parent/meddelandeprofil och detaljerad segmentdefinition.</x:v>
      </x:c>
    </x:row>
    <x:row r="29" ht="50.400001525878906" customHeight="1">
      <x:c r="A29" s="19" t="str">
        <x:v>UG-123-3</x:v>
      </x:c>
      <x:c r="B29" s="19" t="str">
        <x:v>SG2/NAD/C082/3055</x:v>
      </x:c>
      <x:c r="C29" s="19" t="str">
        <x:v>207 eller 208</x:v>
      </x:c>
      <x:c r="D29" s="19" t="str"/>
      <x:c r="E29" s="19" t="str">
        <x:v>260, 9, 305</x:v>
      </x:c>
      <x:c r="F29" s="19" t="str"/>
      <x:c r="G29" s="19" t="str">
        <x:v>U bilaga 1 s.123</x:v>
      </x:c>
      <x:c r="H29" s="19" t="str">
        <x:v>Källvillkor avläst; tolka ihop med parent/meddelandeprofil och detaljerad segmentdefinition.</x:v>
      </x:c>
    </x:row>
    <x:row r="30" ht="50.400001525878906" customHeight="1">
      <x:c r="A30" s="19" t="str">
        <x:v>UG-123-5</x:v>
      </x:c>
      <x:c r="B30" s="19" t="str">
        <x:v>SG2/NAD/3035</x:v>
      </x:c>
      <x:c r="C30" s="19" t="str">
        <x:v>509</x:v>
      </x:c>
      <x:c r="D30" s="19" t="str">
        <x:v>Underordnad roll</x:v>
      </x:c>
      <x:c r="E30" s="19" t="str">
        <x:v>DDK, DDQ, DDX, DEA, DEC, DER, DGG, DGI, EZ, MDR, PQ</x:v>
      </x:c>
      <x:c r="F30" s="19" t="str">
        <x:v>DGG används i utbyten med leverantör av balanstjänster och koden behöver endast kontrolleras om man har sådan trafik.</x:v>
      </x:c>
      <x:c r="G30" s="19" t="str">
        <x:v>U bilaga 1 s.123</x:v>
      </x:c>
      <x:c r="H30" s="19" t="str">
        <x:v>Källvillkor avläst; tolka ihop med parent/meddelandeprofil och detaljerad segmentdefinition.</x:v>
      </x:c>
    </x:row>
    <x:row r="31" ht="50.400001525878906" customHeight="1">
      <x:c r="A31" s="19" t="str">
        <x:v>UG-123-7</x:v>
      </x:c>
      <x:c r="B31" s="19" t="str">
        <x:v>SG5/IDE/7495</x:v>
      </x:c>
      <x:c r="C31" s="19" t="str">
        <x:v>505</x:v>
      </x:c>
      <x:c r="D31" s="19" t="str"/>
      <x:c r="E31" s="19" t="str">
        <x:v>24</x:v>
      </x:c>
      <x:c r="F31" s="19" t="str"/>
      <x:c r="G31" s="19" t="str">
        <x:v>U bilaga 1 s.123</x:v>
      </x:c>
      <x:c r="H31" s="19" t="str">
        <x:v>Källvillkor avläst; tolka ihop med parent/meddelandeprofil och detaljerad segmentdefinition.</x:v>
      </x:c>
    </x:row>
    <x:row r="32" ht="50.400001525878906" customHeight="1">
      <x:c r="A32" s="19" t="str">
        <x:v>UG-123-8</x:v>
      </x:c>
      <x:c r="B32" s="19" t="str">
        <x:v>SG5/IDE+24/C206/7402</x:v>
      </x:c>
      <x:c r="C32" s="19" t="str">
        <x:v>505</x:v>
      </x:c>
      <x:c r="D32" s="19" t="str">
        <x:v>Transaktionsnr</x:v>
      </x:c>
      <x:c r="E32" s="19" t="str">
        <x:v>Ej blankt Kontrollera att transaktionsnr är unikt över tid</x:v>
      </x:c>
      <x:c r="F32" s="19" t="str">
        <x:v>Felkod 42 används om transaktionsnr ej är unikt över tid.</x:v>
      </x:c>
      <x:c r="G32" s="19" t="str">
        <x:v>U bilaga 1 s.123</x:v>
      </x:c>
      <x:c r="H32" s="19" t="str">
        <x:v>Källvillkor avläst; tolka ihop med parent/meddelandeprofil och detaljerad segmentdefinition.</x:v>
      </x:c>
    </x:row>
    <x:row r="33" ht="50.400001525878906" customHeight="1">
      <x:c r="A33" s="19" t="str">
        <x:v>UG-123-10</x:v>
      </x:c>
      <x:c r="B33" s="19" t="str">
        <x:v>SG5/LOC+172/3227</x:v>
      </x:c>
      <x:c r="C33" s="19" t="str">
        <x:v>209 (om möjligt)</x:v>
      </x:c>
      <x:c r="D33" s="19" t="str"/>
      <x:c r="E33" s="19" t="str">
        <x:v>172</x:v>
      </x:c>
      <x:c r="F33" s="19" t="str"/>
      <x:c r="G33" s="19" t="str">
        <x:v>U bilaga 1 s.123</x:v>
      </x:c>
      <x:c r="H33" s="19" t="str">
        <x:v>Källvillkor avläst; tolka ihop med parent/meddelandeprofil och detaljerad segmentdefinition.</x:v>
      </x:c>
    </x:row>
    <x:row r="34" ht="50.400001525878906" customHeight="1">
      <x:c r="A34" s="19" t="str">
        <x:v>UG-123-11</x:v>
      </x:c>
      <x:c r="B34" s="19" t="str">
        <x:v>SG5/LOC+172/C517/3225</x:v>
      </x:c>
      <x:c r="C34" s="19" t="str">
        <x:v>209</x:v>
      </x:c>
      <x:c r="D34" s="19" t="str">
        <x:v>Anläggningsid</x:v>
      </x:c>
      <x:c r="E34" s="19" t="str">
        <x:v>Ej blankt Om GS1-nr kontrollera GS1-checksiffra</x:v>
      </x:c>
      <x:c r="F34" s="19" t="str">
        <x:v>* Algoritm för kontroll av GS1-checksiffra, se längst ner i bilagan.</x:v>
      </x:c>
      <x:c r="G34" s="19" t="str">
        <x:v>U bilaga 1 s.123</x:v>
      </x:c>
      <x:c r="H34" s="19" t="str">
        <x:v>Källvillkor avläst; tolka ihop med parent/meddelandeprofil och detaljerad segmentdefinition.</x:v>
      </x:c>
    </x:row>
    <x:row r="35" ht="50.400001525878906" customHeight="1">
      <x:c r="A35" s="19" t="str">
        <x:v>UG-123-12</x:v>
      </x:c>
      <x:c r="B35" s="19" t="str">
        <x:v>SG5/LOC+172/C517/3055</x:v>
      </x:c>
      <x:c r="C35" s="19" t="str">
        <x:v>209</x:v>
      </x:c>
      <x:c r="D35" s="19" t="str"/>
      <x:c r="E35" s="19" t="str">
        <x:v>9, 89</x:v>
      </x:c>
      <x:c r="F35" s="19" t="str"/>
      <x:c r="G35" s="19" t="str">
        <x:v>U bilaga 1 s.123</x:v>
      </x:c>
      <x:c r="H35" s="19" t="str">
        <x:v>Källvillkor avläst; tolka ihop med parent/meddelandeprofil och detaljerad segmentdefinition.</x:v>
      </x:c>
    </x:row>
    <x:row r="36" ht="50.400001525878906" customHeight="1">
      <x:c r="A36" s="19" t="str">
        <x:v>UG-123-14</x:v>
      </x:c>
      <x:c r="B36" s="19" t="str">
        <x:v>SG5/LOC+175/3227</x:v>
      </x:c>
      <x:c r="C36" s="19" t="str">
        <x:v>533 (om möjligt)</x:v>
      </x:c>
      <x:c r="D36" s="19" t="str"/>
      <x:c r="E36" s="19" t="str">
        <x:v>175</x:v>
      </x:c>
      <x:c r="F36" s="19" t="str"/>
      <x:c r="G36" s="19" t="str">
        <x:v>U bilaga 1 s.123</x:v>
      </x:c>
      <x:c r="H36" s="19" t="str">
        <x:v>Källvillkor avläst; tolka ihop med parent/meddelandeprofil och detaljerad segmentdefinition.</x:v>
      </x:c>
    </x:row>
    <x:row r="37" ht="50.400001525878906" customHeight="1">
      <x:c r="A37" s="19" t="str">
        <x:v>UG-123-15</x:v>
      </x:c>
      <x:c r="B37" s="19" t="str">
        <x:v>SG5/LOC+175/C517/3225</x:v>
      </x:c>
      <x:c r="C37" s="19" t="str">
        <x:v>533</x:v>
      </x:c>
      <x:c r="D37" s="19" t="str">
        <x:v>Reglerobjektsid</x:v>
      </x:c>
      <x:c r="E37" s="19" t="str">
        <x:v>Ej blankt Om GS1-nr kontrollera GS1-checksiffra</x:v>
      </x:c>
      <x:c r="F37" s="19" t="str">
        <x:v>* Algoritm för kontroll av GS1-checksiffra, se längst ner i bilagan.</x:v>
      </x:c>
      <x:c r="G37" s="19" t="str">
        <x:v>U bilaga 1 s.123</x:v>
      </x:c>
      <x:c r="H37" s="19" t="str">
        <x:v>Källvillkor avläst; tolka ihop med parent/meddelandeprofil och detaljerad segmentdefinition.</x:v>
      </x:c>
    </x:row>
    <x:row r="38" ht="50.400001525878906" customHeight="1">
      <x:c r="A38" s="19" t="str">
        <x:v>UG-123-16</x:v>
      </x:c>
      <x:c r="B38" s="19" t="str">
        <x:v>SG5/LOC+175/C517/3055</x:v>
      </x:c>
      <x:c r="C38" s="19" t="str">
        <x:v>533</x:v>
      </x:c>
      <x:c r="D38" s="19" t="str"/>
      <x:c r="E38" s="19" t="str">
        <x:v>9, 89</x:v>
      </x:c>
      <x:c r="F38" s="19" t="str"/>
      <x:c r="G38" s="19" t="str">
        <x:v>U bilaga 1 s.123</x:v>
      </x:c>
      <x:c r="H38" s="19" t="str">
        <x:v>Källvillkor avläst; tolka ihop med parent/meddelandeprofil och detaljerad segmentdefinition.</x:v>
      </x:c>
    </x:row>
    <x:row r="39" ht="50.400001525878906" customHeight="1">
      <x:c r="A39" s="19" t="str">
        <x:v>UG-123-18</x:v>
      </x:c>
      <x:c r="B39" s="19" t="str">
        <x:v>SG5/LOC+232,233,239/3227</x:v>
      </x:c>
      <x:c r="C39" s="19" t="str">
        <x:v>260a, 260b, 260c (om möjligt)</x:v>
      </x:c>
      <x:c r="D39" s="19" t="str"/>
      <x:c r="E39" s="19" t="str">
        <x:v>232, 233, 239</x:v>
      </x:c>
      <x:c r="F39" s="19" t="str"/>
      <x:c r="G39" s="19" t="str">
        <x:v>U bilaga 1 s.123</x:v>
      </x:c>
      <x:c r="H39" s="19" t="str">
        <x:v>Källvillkor avläst; tolka ihop med parent/meddelandeprofil och detaljerad segmentdefinition.</x:v>
      </x:c>
    </x:row>
    <x:row r="40" ht="50.400001525878906" customHeight="1">
      <x:c r="A40" s="19" t="str">
        <x:v>UG-123-19</x:v>
      </x:c>
      <x:c r="B40" s="19" t="str">
        <x:v>SG5/LOC+232,233,239/C517/3225</x:v>
      </x:c>
      <x:c r="C40" s="19" t="str">
        <x:v>260a, 260b, 260c</x:v>
      </x:c>
      <x:c r="D40" s="19" t="str">
        <x:v>Nätområdesid, Nätområde – utmatning, Nätområde – inmatning</x:v>
      </x:c>
      <x:c r="E40" s="19" t="str">
        <x:v>Ej blankt, alltid tre tecken</x:v>
      </x:c>
      <x:c r="F40" s="19" t="str"/>
      <x:c r="G40" s="19" t="str">
        <x:v>U bilaga 1 s.123</x:v>
      </x:c>
      <x:c r="H40" s="19" t="str">
        <x:v>Källvillkor avläst; tolka ihop med parent/meddelandeprofil och detaljerad segmentdefinition.</x:v>
      </x:c>
    </x:row>
    <x:row r="41" ht="50.400001525878906" customHeight="1">
      <x:c r="A41" s="19" t="str">
        <x:v>UG-123-20</x:v>
      </x:c>
      <x:c r="B41" s="19" t="str">
        <x:v>SG5/LOC+232,233,239/C517/1131</x:v>
      </x:c>
      <x:c r="C41" s="19" t="str">
        <x:v>260a, 260b, 260c</x:v>
      </x:c>
      <x:c r="D41" s="19" t="str"/>
      <x:c r="E41" s="19" t="str">
        <x:v>SVK</x:v>
      </x:c>
      <x:c r="F41" s="19" t="str"/>
      <x:c r="G41" s="19" t="str">
        <x:v>U bilaga 1 s.123</x:v>
      </x:c>
      <x:c r="H41" s="19" t="str">
        <x:v>Källvillkor avläst; tolka ihop med parent/meddelandeprofil och detaljerad segmentdefinition.</x:v>
      </x:c>
    </x:row>
    <x:row r="42" ht="50.400001525878906" customHeight="1">
      <x:c r="A42" s="19" t="str">
        <x:v>UG-123-21</x:v>
      </x:c>
      <x:c r="B42" s="19" t="str">
        <x:v>SG5/LOC+232,233,239/C517/3055</x:v>
      </x:c>
      <x:c r="C42" s="19" t="str">
        <x:v>260a, 260b, 260c</x:v>
      </x:c>
      <x:c r="D42" s="19" t="str"/>
      <x:c r="E42" s="19" t="str">
        <x:v>260</x:v>
      </x:c>
      <x:c r="F42" s="19" t="str"/>
      <x:c r="G42" s="19" t="str">
        <x:v>U bilaga 1 s.123</x:v>
      </x:c>
      <x:c r="H42" s="19" t="str">
        <x:v>Källvillkor avläst; tolka ihop med parent/meddelandeprofil och detaljerad segmentdefinition.</x:v>
      </x:c>
    </x:row>
    <x:row r="43" ht="50.400001525878906" customHeight="1">
      <x:c r="A43" s="19" t="str">
        <x:v>UG-124-2</x:v>
      </x:c>
      <x:c r="B43" s="19" t="str">
        <x:v>SG5/NAD/3035</x:v>
      </x:c>
      <x:c r="C43" s="19" t="str">
        <x:v>262, 510, 524, 525, 526 (om möjligt)</x:v>
      </x:c>
      <x:c r="D43" s="19" t="str"/>
      <x:c r="E43" s="19" t="str">
        <x:v>DDK, DDQ, BY, SE, EZ</x:v>
      </x:c>
      <x:c r="F43" s="19" t="str"/>
      <x:c r="G43" s="19" t="str">
        <x:v>U bilaga 1 s.124</x:v>
      </x:c>
      <x:c r="H43" s="19" t="str">
        <x:v>Källvillkor avläst; tolka ihop med parent/meddelandeprofil och detaljerad segmentdefinition.</x:v>
      </x:c>
    </x:row>
    <x:row r="44" ht="50.400001525878906" customHeight="1">
      <x:c r="A44" s="19" t="str">
        <x:v>UG-124-3</x:v>
      </x:c>
      <x:c r="B44" s="19" t="str">
        <x:v>SG5/NAD/C082/3039</x:v>
      </x:c>
      <x:c r="C44" s="19" t="str">
        <x:v>262, 510, 524, 525, 526</x:v>
      </x:c>
      <x:c r="D44" s="19" t="str">
        <x:v>Balansansvarig, Leverantör, Köpare, Säljare, Systemansvarig</x:v>
      </x:c>
      <x:c r="E44" s="19" t="str">
        <x:v>Kontrollera femsiffrigt (Ediel-id)</x:v>
      </x:c>
      <x:c r="F44" s="19" t="str"/>
      <x:c r="G44" s="19" t="str">
        <x:v>U bilaga 1 s.124</x:v>
      </x:c>
      <x:c r="H44" s="19" t="str">
        <x:v>Källvillkor avläst; tolka ihop med parent/meddelandeprofil och detaljerad segmentdefinition.</x:v>
      </x:c>
    </x:row>
    <x:row r="45" ht="50.400001525878906" customHeight="1">
      <x:c r="A45" s="19" t="str">
        <x:v>UG-124-4</x:v>
      </x:c>
      <x:c r="B45" s="19" t="str">
        <x:v>SG5/NAD/C082/1131</x:v>
      </x:c>
      <x:c r="C45" s="19" t="str">
        <x:v>262, 510, 524, 525, 526</x:v>
      </x:c>
      <x:c r="D45" s="19" t="str"/>
      <x:c r="E45" s="19" t="str">
        <x:v>SVK</x:v>
      </x:c>
      <x:c r="F45" s="19" t="str"/>
      <x:c r="G45" s="19" t="str">
        <x:v>U bilaga 1 s.124</x:v>
      </x:c>
      <x:c r="H45" s="19" t="str">
        <x:v>Källvillkor avläst; tolka ihop med parent/meddelandeprofil och detaljerad segmentdefinition.</x:v>
      </x:c>
    </x:row>
    <x:row r="46" ht="50.400001525878906" customHeight="1">
      <x:c r="A46" s="19" t="str">
        <x:v>UG-124-5</x:v>
      </x:c>
      <x:c r="B46" s="19" t="str">
        <x:v>SG5/NAD/C082/3055</x:v>
      </x:c>
      <x:c r="C46" s="19" t="str">
        <x:v>262, 510, 524, 525, 526</x:v>
      </x:c>
      <x:c r="D46" s="19" t="str"/>
      <x:c r="E46" s="19" t="str">
        <x:v>260</x:v>
      </x:c>
      <x:c r="F46" s="19" t="str"/>
      <x:c r="G46" s="19" t="str">
        <x:v>U bilaga 1 s.124</x:v>
      </x:c>
      <x:c r="H46" s="19" t="str">
        <x:v>Källvillkor avläst; tolka ihop med parent/meddelandeprofil och detaljerad segmentdefinition.</x:v>
      </x:c>
    </x:row>
    <x:row r="47" ht="105.5999984741211" customHeight="1">
      <x:c r="A47" s="19" t="str">
        <x:v>UG-124-7</x:v>
      </x:c>
      <x:c r="B47" s="19" t="str">
        <x:v>SG5/LIN/C212/7140</x:v>
      </x:c>
      <x:c r="C47" s="19" t="str">
        <x:v>506</x:v>
      </x:c>
      <x:c r="D47" s="19" t="str">
        <x:v>Produkt id</x:v>
      </x:c>
      <x:c r="E47" s="19" t="str">
        <x:v>8716867000016 (power active) 8716867000023 (power reactive) 8716867000030 (energy active) 8716867000047 (energy reactive) 8716867000054 (connection capacity) 8716867000061 (connection use) 8716867000078 (transport capacity) 8716867000085 (transport use) 8716867000139 (energy reactive capacitive) 8716867000146 (energy reactive inductive) 5410000100016 (natural gas) 7331507000013 (tid) 7331507000020 (belopp) 7331507000051 (frekvens)</x:v>
      </x:c>
      <x:c r="F47" s="19" t="str"/>
      <x:c r="G47" s="19" t="str">
        <x:v>U bilaga 1 s.124</x:v>
      </x:c>
      <x:c r="H47" s="19" t="str">
        <x:v>Källvillkor avläst; tolka ihop med parent/meddelandeprofil och detaljerad segmentdefinition.</x:v>
      </x:c>
    </x:row>
    <x:row r="48" ht="50.400001525878906" customHeight="1">
      <x:c r="A48" s="19" t="str">
        <x:v>UG-124-8</x:v>
      </x:c>
      <x:c r="B48" s="19" t="str">
        <x:v>SG5/LIN/C212/3055</x:v>
      </x:c>
      <x:c r="C48" s="19" t="str">
        <x:v>506</x:v>
      </x:c>
      <x:c r="D48" s="19" t="str"/>
      <x:c r="E48" s="19" t="str">
        <x:v>9</x:v>
      </x:c>
      <x:c r="F48" s="19" t="str"/>
      <x:c r="G48" s="19" t="str">
        <x:v>U bilaga 1 s.124</x:v>
      </x:c>
      <x:c r="H48" s="19" t="str">
        <x:v>Källvillkor avläst; tolka ihop med parent/meddelandeprofil och detaljerad segmentdefinition.</x:v>
      </x:c>
    </x:row>
    <x:row r="49" ht="50.400001525878906" customHeight="1">
      <x:c r="A49" s="19" t="str">
        <x:v>UG-124-10</x:v>
      </x:c>
      <x:c r="B49" s="19" t="str">
        <x:v>SG5/PIA/4347</x:v>
      </x:c>
      <x:c r="C49" s="19" t="str">
        <x:v>511</x:v>
      </x:c>
      <x:c r="D49" s="19" t="str"/>
      <x:c r="E49" s="19" t="str">
        <x:v>1</x:v>
      </x:c>
      <x:c r="F49" s="19" t="str"/>
      <x:c r="G49" s="19" t="str">
        <x:v>U bilaga 1 s.124</x:v>
      </x:c>
      <x:c r="H49" s="19" t="str">
        <x:v>Källvillkor avläst; tolka ihop med parent/meddelandeprofil och detaljerad segmentdefinition.</x:v>
      </x:c>
    </x:row>
    <x:row r="50" ht="50.400001525878906" customHeight="1">
      <x:c r="A50" s="19" t="str">
        <x:v>UG-124-11</x:v>
      </x:c>
      <x:c r="B50" s="19" t="str">
        <x:v>SG5/PIA/C212/7140</x:v>
      </x:c>
      <x:c r="C50" s="19" t="str">
        <x:v>511a, 511b, 511c, 511d, 511e</x:v>
      </x:c>
      <x:c r="D50" s="19" t="str">
        <x:v>Tidsserieprodukt</x:v>
      </x:c>
      <x:c r="E50" s="19" t="str">
        <x:v>Ej blankt</x:v>
      </x:c>
      <x:c r="F50" s="19" t="str"/>
      <x:c r="G50" s="19" t="str">
        <x:v>U bilaga 1 s.124</x:v>
      </x:c>
      <x:c r="H50" s="19" t="str">
        <x:v>Källvillkor avläst; tolka ihop med parent/meddelandeprofil och detaljerad segmentdefinition.</x:v>
      </x:c>
    </x:row>
    <x:row r="51" ht="50.400001525878906" customHeight="1">
      <x:c r="A51" s="19" t="str">
        <x:v>UG-124-12</x:v>
      </x:c>
      <x:c r="B51" s="19" t="str">
        <x:v>SG5/PIS/C212/7143</x:v>
      </x:c>
      <x:c r="C51" s="19" t="str">
        <x:v>511a, 511b, 511c, 511d, 511e</x:v>
      </x:c>
      <x:c r="D51" s="19" t="str"/>
      <x:c r="E51" s="19" t="str">
        <x:v>PC, PT, OT, LOD, BAP</x:v>
      </x:c>
      <x:c r="F51" s="19" t="str"/>
      <x:c r="G51" s="19" t="str">
        <x:v>U bilaga 1 s.124</x:v>
      </x:c>
      <x:c r="H51" s="19" t="str">
        <x:v>Källvillkor avläst; tolka ihop med parent/meddelandeprofil och detaljerad segmentdefinition.</x:v>
      </x:c>
    </x:row>
    <x:row r="52" ht="50.400001525878906" customHeight="1">
      <x:c r="A52" s="19" t="str">
        <x:v>UG-124-13</x:v>
      </x:c>
      <x:c r="B52" s="19" t="str">
        <x:v>SG5/PIA/C212/1131</x:v>
      </x:c>
      <x:c r="C52" s="19" t="str">
        <x:v>511a, 511b, 511c, 511d, 511e</x:v>
      </x:c>
      <x:c r="D52" s="19" t="str"/>
      <x:c r="E52" s="19" t="str">
        <x:v>SVK</x:v>
      </x:c>
      <x:c r="F52" s="19" t="str"/>
      <x:c r="G52" s="19" t="str">
        <x:v>U bilaga 1 s.124</x:v>
      </x:c>
      <x:c r="H52" s="19" t="str">
        <x:v>Källvillkor avläst; tolka ihop med parent/meddelandeprofil och detaljerad segmentdefinition.</x:v>
      </x:c>
    </x:row>
    <x:row r="53" ht="50.400001525878906" customHeight="1">
      <x:c r="A53" s="19" t="str">
        <x:v>UG-125-2</x:v>
      </x:c>
      <x:c r="B53" s="19" t="str">
        <x:v>SG5/PIA/C212/3055</x:v>
      </x:c>
      <x:c r="C53" s="19" t="str">
        <x:v>511a, 511b, 511c, 511d, 511e</x:v>
      </x:c>
      <x:c r="D53" s="19" t="str"/>
      <x:c r="E53" s="19" t="str">
        <x:v>260</x:v>
      </x:c>
      <x:c r="F53" s="19" t="str"/>
      <x:c r="G53" s="19" t="str">
        <x:v>U bilaga 1 s.125</x:v>
      </x:c>
      <x:c r="H53" s="19" t="str">
        <x:v>Källvillkor avläst; tolka ihop med parent/meddelandeprofil och detaljerad segmentdefinition.</x:v>
      </x:c>
    </x:row>
    <x:row r="54" ht="50.400001525878906" customHeight="1">
      <x:c r="A54" s="19" t="str">
        <x:v>UG-125-4</x:v>
      </x:c>
      <x:c r="B54" s="19" t="str">
        <x:v>SG5/DTM+324/C507/2005</x:v>
      </x:c>
      <x:c r="C54" s="19" t="str">
        <x:v>245 (om möjligt)</x:v>
      </x:c>
      <x:c r="D54" s="19" t="str"/>
      <x:c r="E54" s="19" t="str">
        <x:v>324</x:v>
      </x:c>
      <x:c r="F54" s="19" t="str"/>
      <x:c r="G54" s="19" t="str">
        <x:v>U bilaga 1 s.125</x:v>
      </x:c>
      <x:c r="H54" s="19" t="str">
        <x:v>Källvillkor avläst; tolka ihop med parent/meddelandeprofil och detaljerad segmentdefinition.</x:v>
      </x:c>
    </x:row>
    <x:row r="55" ht="64.19999694824219" customHeight="1">
      <x:c r="A55" s="19" t="str">
        <x:v>UG-125-5</x:v>
      </x:c>
      <x:c r="B55" s="19" t="str">
        <x:v>SG5/DTM+324/C507/2380</x:v>
      </x:c>
      <x:c r="C55" s="19" t="str">
        <x:v>245</x:v>
      </x:c>
      <x:c r="D55" s="19" t="str">
        <x:v>Leveransperiod</x:v>
      </x:c>
      <x:c r="E55" s="19" t="str">
        <x:v>Datum enligt format 719 (CCYYMMDDHHmmCCYYMMDDHHmm) Om meddelandetyp = E30, E31, E66, S01, S05 eller S07 kontrollera att ej framtida datum, för preliminära andelstal (S03, S04) och förbrukningsprognos (S02) är det tillåtet med framtida datum.</x:v>
      </x:c>
      <x:c r="F55" s="19" t="str"/>
      <x:c r="G55" s="19" t="str">
        <x:v>U bilaga 1 s.125</x:v>
      </x:c>
      <x:c r="H55" s="19" t="str">
        <x:v>Källvillkor avläst; tolka ihop med parent/meddelandeprofil och detaljerad segmentdefinition.</x:v>
      </x:c>
    </x:row>
    <x:row r="56" ht="50.400001525878906" customHeight="1">
      <x:c r="A56" s="19" t="str">
        <x:v>UG-125-6</x:v>
      </x:c>
      <x:c r="B56" s="19" t="str">
        <x:v>SG5/DTM+324/C507/2379</x:v>
      </x:c>
      <x:c r="C56" s="19" t="str">
        <x:v>245</x:v>
      </x:c>
      <x:c r="D56" s="19" t="str"/>
      <x:c r="E56" s="19" t="str">
        <x:v>719</x:v>
      </x:c>
      <x:c r="F56" s="19" t="str"/>
      <x:c r="G56" s="19" t="str">
        <x:v>U bilaga 1 s.125</x:v>
      </x:c>
      <x:c r="H56" s="19" t="str">
        <x:v>Källvillkor avläst; tolka ihop med parent/meddelandeprofil och detaljerad segmentdefinition.</x:v>
      </x:c>
    </x:row>
    <x:row r="57" ht="50.400001525878906" customHeight="1">
      <x:c r="A57" s="19" t="str">
        <x:v>UG-125-8</x:v>
      </x:c>
      <x:c r="B57" s="19" t="str">
        <x:v>SG5/DTM+354/C507/2005</x:v>
      </x:c>
      <x:c r="C57" s="19" t="str">
        <x:v>508 (om möjligt)</x:v>
      </x:c>
      <x:c r="D57" s="19" t="str"/>
      <x:c r="E57" s="19" t="str">
        <x:v>354</x:v>
      </x:c>
      <x:c r="F57" s="19" t="str"/>
      <x:c r="G57" s="19" t="str">
        <x:v>U bilaga 1 s.125</x:v>
      </x:c>
      <x:c r="H57" s="19" t="str">
        <x:v>Källvillkor avläst; tolka ihop med parent/meddelandeprofil och detaljerad segmentdefinition.</x:v>
      </x:c>
    </x:row>
    <x:row r="58" ht="64.19999694824219" customHeight="1">
      <x:c r="A58" s="19" t="str">
        <x:v>UG-125-9</x:v>
      </x:c>
      <x:c r="B58" s="19" t="str">
        <x:v>SG5/DTM+354/C507/2380</x:v>
      </x:c>
      <x:c r="C58" s="19" t="str">
        <x:v>508</x:v>
      </x:c>
      <x:c r="D58" s="19" t="str">
        <x:v>Upplösning</x:v>
      </x:c>
      <x:c r="E58" s="19" t="str">
        <x:v>1 om 2379 = 801, 802, 804 1519, 60 om 2379 = 806</x:v>
      </x:c>
      <x:c r="F58" s="19" t="str">
        <x:v>2379 = 801 och 804 är endast tillåtna efter överenskommelse. 60 för 2379 = 806 är för värden efter den 1 novem- ber 2023 endast tillåtet efter överenskommelse.</x:v>
      </x:c>
      <x:c r="G58" s="19" t="str">
        <x:v>U bilaga 1 s.125</x:v>
      </x:c>
      <x:c r="H58" s="19" t="str">
        <x:v>Källvillkor avläst; tolka ihop med parent/meddelandeprofil och detaljerad segmentdefinition.</x:v>
      </x:c>
    </x:row>
    <x:row r="59" ht="50.400001525878906" customHeight="1">
      <x:c r="A59" s="19" t="str">
        <x:v>UG-125-10</x:v>
      </x:c>
      <x:c r="B59" s="19" t="str">
        <x:v>SG5/DTM+354/C507/2379</x:v>
      </x:c>
      <x:c r="C59" s="19" t="str">
        <x:v>508</x:v>
      </x:c>
      <x:c r="D59" s="19" t="str"/>
      <x:c r="E59" s="19" t="str">
        <x:v>801, 802, 804, 806</x:v>
      </x:c>
      <x:c r="F59" s="19" t="str"/>
      <x:c r="G59" s="19" t="str">
        <x:v>U bilaga 1 s.125</x:v>
      </x:c>
      <x:c r="H59" s="19" t="str">
        <x:v>Källvillkor avläst; tolka ihop med parent/meddelandeprofil och detaljerad segmentdefinition.</x:v>
      </x:c>
    </x:row>
    <x:row r="60" ht="50.400001525878906" customHeight="1">
      <x:c r="A60" s="19" t="str">
        <x:v>UG-125-12</x:v>
      </x:c>
      <x:c r="B60" s="19" t="str">
        <x:v>SG5/DTM+597/C507/2005</x:v>
      </x:c>
      <x:c r="C60" s="19" t="str">
        <x:v>512 (om möjligt)</x:v>
      </x:c>
      <x:c r="D60" s="19" t="str"/>
      <x:c r="E60" s="19" t="str">
        <x:v>597</x:v>
      </x:c>
      <x:c r="F60" s="19" t="str"/>
      <x:c r="G60" s="19" t="str">
        <x:v>U bilaga 1 s.125</x:v>
      </x:c>
      <x:c r="H60" s="19" t="str">
        <x:v>Källvillkor avläst; tolka ihop med parent/meddelandeprofil och detaljerad segmentdefinition.</x:v>
      </x:c>
    </x:row>
    <x:row r="61" ht="50.400001525878906" customHeight="1">
      <x:c r="A61" s="19" t="str">
        <x:v>UG-125-13</x:v>
      </x:c>
      <x:c r="B61" s="19" t="str">
        <x:v>SG5/DTM+597/C507/2380</x:v>
      </x:c>
      <x:c r="C61" s="19" t="str">
        <x:v>512</x:v>
      </x:c>
      <x:c r="D61" s="19" t="str">
        <x:v>Registreringstidpunkt</x:v>
      </x:c>
      <x:c r="E61" s="19" t="str">
        <x:v>Datum enligt format 203 (CCYYMMDDHHmm) Kontrollera att ej framtida datum</x:v>
      </x:c>
      <x:c r="F61" s="19" t="str"/>
      <x:c r="G61" s="19" t="str">
        <x:v>U bilaga 1 s.125</x:v>
      </x:c>
      <x:c r="H61" s="19" t="str">
        <x:v>Källvillkor avläst; tolka ihop med parent/meddelandeprofil och detaljerad segmentdefinition.</x:v>
      </x:c>
    </x:row>
    <x:row r="62" ht="50.400001525878906" customHeight="1">
      <x:c r="A62" s="19" t="str">
        <x:v>UG-125-14</x:v>
      </x:c>
      <x:c r="B62" s="19" t="str">
        <x:v>SG5/DTM+597/C507/2379</x:v>
      </x:c>
      <x:c r="C62" s="19" t="str">
        <x:v>512</x:v>
      </x:c>
      <x:c r="D62" s="19" t="str"/>
      <x:c r="E62" s="19" t="str">
        <x:v>203</x:v>
      </x:c>
      <x:c r="F62" s="19" t="str"/>
      <x:c r="G62" s="19" t="str">
        <x:v>U bilaga 1 s.125</x:v>
      </x:c>
      <x:c r="H62" s="19" t="str">
        <x:v>Källvillkor avläst; tolka ihop med parent/meddelandeprofil och detaljerad segmentdefinition.</x:v>
      </x:c>
    </x:row>
    <x:row r="63" ht="50.400001525878906" customHeight="1">
      <x:c r="A63" s="19" t="str">
        <x:v>UG-125-16</x:v>
      </x:c>
      <x:c r="B63" s="19" t="str">
        <x:v>SG5/DTM+368/C507/2005</x:v>
      </x:c>
      <x:c r="C63" s="19" t="str">
        <x:v>532 (om möjligt)</x:v>
      </x:c>
      <x:c r="D63" s="19" t="str"/>
      <x:c r="E63" s="19" t="str">
        <x:v>368</x:v>
      </x:c>
      <x:c r="F63" s="19" t="str"/>
      <x:c r="G63" s="19" t="str">
        <x:v>U bilaga 1 s.125</x:v>
      </x:c>
      <x:c r="H63" s="19" t="str">
        <x:v>Källvillkor avläst; tolka ihop med parent/meddelandeprofil och detaljerad segmentdefinition.</x:v>
      </x:c>
    </x:row>
    <x:row r="64" ht="50.400001525878906" customHeight="1">
      <x:c r="A64" s="19" t="str">
        <x:v>UG-125-17</x:v>
      </x:c>
      <x:c r="B64" s="19" t="str">
        <x:v>SG5/DTM+368/C507/2380</x:v>
      </x:c>
      <x:c r="C64" s="19" t="str">
        <x:v>532</x:v>
      </x:c>
      <x:c r="D64" s="19" t="str">
        <x:v>Senaste uppdateringstidpunkt</x:v>
      </x:c>
      <x:c r="E64" s="19" t="str">
        <x:v>Datum enligt format 203 (CCYYMMDDHHmm) Kontrollera att ej framtida datum</x:v>
      </x:c>
      <x:c r="F64" s="19" t="str"/>
      <x:c r="G64" s="19" t="str">
        <x:v>U bilaga 1 s.125</x:v>
      </x:c>
      <x:c r="H64" s="19" t="str">
        <x:v>Källvillkor avläst; tolka ihop med parent/meddelandeprofil och detaljerad segmentdefinition.</x:v>
      </x:c>
    </x:row>
    <x:row r="65" ht="50.400001525878906" customHeight="1">
      <x:c r="A65" s="19" t="str">
        <x:v>UG-125-18</x:v>
      </x:c>
      <x:c r="B65" s="19" t="str">
        <x:v>SG5/DTM+368/C507/2379</x:v>
      </x:c>
      <x:c r="C65" s="19" t="str">
        <x:v>532</x:v>
      </x:c>
      <x:c r="D65" s="19" t="str"/>
      <x:c r="E65" s="19" t="str">
        <x:v>203</x:v>
      </x:c>
      <x:c r="F65" s="19" t="str"/>
      <x:c r="G65" s="19" t="str">
        <x:v>U bilaga 1 s.125</x:v>
      </x:c>
      <x:c r="H65" s="19" t="str">
        <x:v>Källvillkor avläst; tolka ihop med parent/meddelandeprofil och detaljerad segmentdefinition.</x:v>
      </x:c>
    </x:row>
    <x:row r="66" ht="50.400001525878906" customHeight="1">
      <x:c r="A66" s="19" t="str">
        <x:v>UG-125-20</x:v>
      </x:c>
      <x:c r="B66" s="19" t="str">
        <x:v>SG5/STS+7/C601/9015</x:v>
      </x:c>
      <x:c r="C66" s="19" t="str">
        <x:v>223 (om möjligt)</x:v>
      </x:c>
      <x:c r="D66" s="19" t="str"/>
      <x:c r="E66" s="19" t="str">
        <x:v>7</x:v>
      </x:c>
      <x:c r="F66" s="19" t="str"/>
      <x:c r="G66" s="19" t="str">
        <x:v>U bilaga 1 s.125</x:v>
      </x:c>
      <x:c r="H66" s="19" t="str">
        <x:v>Källvillkor avläst; tolka ihop med parent/meddelandeprofil och detaljerad segmentdefinition.</x:v>
      </x:c>
    </x:row>
    <x:row r="67" ht="50.400001525878906" customHeight="1">
      <x:c r="A67" s="19" t="str">
        <x:v>UG-126-2</x:v>
      </x:c>
      <x:c r="B67" s="19" t="str">
        <x:v>SG5/STS+7/C556/9013</x:v>
      </x:c>
      <x:c r="C67" s="19" t="str">
        <x:v>223</x:v>
      </x:c>
      <x:c r="D67" s="19" t="str">
        <x:v>Anledning till transaktionen</x:v>
      </x:c>
      <x:c r="E67" s="19" t="str">
        <x:v>E03, E20, E23, E24, E25, E43, E44, E64, E67, E77, E88, Z01</x:v>
      </x:c>
      <x:c r="F67" s="19" t="str"/>
      <x:c r="G67" s="19" t="str">
        <x:v>U bilaga 1 s.126</x:v>
      </x:c>
      <x:c r="H67" s="19" t="str">
        <x:v>Källvillkor avläst; tolka ihop med parent/meddelandeprofil och detaljerad segmentdefinition.</x:v>
      </x:c>
    </x:row>
    <x:row r="68" ht="50.400001525878906" customHeight="1">
      <x:c r="A68" s="19" t="str">
        <x:v>UG-126-3</x:v>
      </x:c>
      <x:c r="B68" s="19" t="str">
        <x:v>SG5/STS+7/C556/1131</x:v>
      </x:c>
      <x:c r="C68" s="19" t="str">
        <x:v>223</x:v>
      </x:c>
      <x:c r="D68" s="19" t="str"/>
      <x:c r="E68" s="19" t="str">
        <x:v>SVK om 9013=Z01</x:v>
      </x:c>
      <x:c r="F68" s="19" t="str"/>
      <x:c r="G68" s="19" t="str">
        <x:v>U bilaga 1 s.126</x:v>
      </x:c>
      <x:c r="H68" s="19" t="str">
        <x:v>Källvillkor avläst; tolka ihop med parent/meddelandeprofil och detaljerad segmentdefinition.</x:v>
      </x:c>
    </x:row>
    <x:row r="69" ht="50.400001525878906" customHeight="1">
      <x:c r="A69" s="19" t="str">
        <x:v>UG-126-4</x:v>
      </x:c>
      <x:c r="B69" s="19" t="str">
        <x:v>SG5/STS+7/C556/3055</x:v>
      </x:c>
      <x:c r="C69" s="19" t="str">
        <x:v>223</x:v>
      </x:c>
      <x:c r="D69" s="19" t="str"/>
      <x:c r="E69" s="19" t="str">
        <x:v>260</x:v>
      </x:c>
      <x:c r="F69" s="19" t="str"/>
      <x:c r="G69" s="19" t="str">
        <x:v>U bilaga 1 s.126</x:v>
      </x:c>
      <x:c r="H69" s="19" t="str">
        <x:v>Källvillkor avläst; tolka ihop med parent/meddelandeprofil och detaljerad segmentdefinition.</x:v>
      </x:c>
    </x:row>
    <x:row r="70" ht="50.400001525878906" customHeight="1">
      <x:c r="A70" s="19" t="str">
        <x:v>UG-126-6</x:v>
      </x:c>
      <x:c r="B70" s="19" t="str">
        <x:v>SG5/STS+E01/C601/9015</x:v>
      </x:c>
      <x:c r="C70" s="19" t="str">
        <x:v>528 (om möjligt)</x:v>
      </x:c>
      <x:c r="D70" s="19" t="str"/>
      <x:c r="E70" s="19" t="str">
        <x:v>E01</x:v>
      </x:c>
      <x:c r="F70" s="19" t="str"/>
      <x:c r="G70" s="19" t="str">
        <x:v>U bilaga 1 s.126</x:v>
      </x:c>
      <x:c r="H70" s="19" t="str">
        <x:v>Källvillkor avläst; tolka ihop med parent/meddelandeprofil och detaljerad segmentdefinition.</x:v>
      </x:c>
    </x:row>
    <x:row r="71" ht="50.400001525878906" customHeight="1">
      <x:c r="A71" s="19" t="str">
        <x:v>UG-126-7</x:v>
      </x:c>
      <x:c r="B71" s="19" t="str">
        <x:v>SG5/STS+E01/C601/3055</x:v>
      </x:c>
      <x:c r="C71" s="19" t="str">
        <x:v>528</x:v>
      </x:c>
      <x:c r="D71" s="19" t="str"/>
      <x:c r="E71" s="19" t="str">
        <x:v>260</x:v>
      </x:c>
      <x:c r="F71" s="19" t="str"/>
      <x:c r="G71" s="19" t="str">
        <x:v>U bilaga 1 s.126</x:v>
      </x:c>
      <x:c r="H71" s="19" t="str">
        <x:v>Källvillkor avläst; tolka ihop med parent/meddelandeprofil och detaljerad segmentdefinition.</x:v>
      </x:c>
    </x:row>
    <x:row r="72" ht="50.400001525878906" customHeight="1">
      <x:c r="A72" s="19" t="str">
        <x:v>UG-126-8</x:v>
      </x:c>
      <x:c r="B72" s="19" t="str">
        <x:v>SG5/STS+E01/C555/4405</x:v>
      </x:c>
      <x:c r="C72" s="19" t="str">
        <x:v>528</x:v>
      </x:c>
      <x:c r="D72" s="19" t="str">
        <x:v>Svarskod</x:v>
      </x:c>
      <x:c r="E72" s="19" t="str">
        <x:v>41</x:v>
      </x:c>
      <x:c r="F72" s="19" t="str"/>
      <x:c r="G72" s="19" t="str">
        <x:v>U bilaga 1 s.126</x:v>
      </x:c>
      <x:c r="H72" s="19" t="str">
        <x:v>Källvillkor avläst; tolka ihop med parent/meddelandeprofil och detaljerad segmentdefinition.</x:v>
      </x:c>
    </x:row>
    <x:row r="73" ht="50.400001525878906" customHeight="1">
      <x:c r="A73" s="19" t="str">
        <x:v>UG-126-10</x:v>
      </x:c>
      <x:c r="B73" s="19" t="str">
        <x:v>SG5/STS+E01/C556/9013</x:v>
      </x:c>
      <x:c r="C73" s="19" t="str">
        <x:v>531</x:v>
      </x:c>
      <x:c r="D73" s="19" t="str">
        <x:v>Avvisningsorsak</x:v>
      </x:c>
      <x:c r="E73" s="19" t="str">
        <x:v>E10, E14, E16, E18, E29, E47, E49, E50, E51, E55, E61, E62, E73, E87, E90, E97, E98</x:v>
      </x:c>
      <x:c r="F73" s="19" t="str"/>
      <x:c r="G73" s="19" t="str">
        <x:v>U bilaga 1 s.126</x:v>
      </x:c>
      <x:c r="H73" s="19" t="str">
        <x:v>Källvillkor avläst; tolka ihop med parent/meddelandeprofil och detaljerad segmentdefinition.</x:v>
      </x:c>
    </x:row>
    <x:row r="74" ht="50.400001525878906" customHeight="1">
      <x:c r="A74" s="19" t="str">
        <x:v>UG-126-11</x:v>
      </x:c>
      <x:c r="B74" s="19" t="str">
        <x:v>SG5/STS+E01/C556/3055</x:v>
      </x:c>
      <x:c r="C74" s="19" t="str">
        <x:v>531</x:v>
      </x:c>
      <x:c r="D74" s="19" t="str"/>
      <x:c r="E74" s="19" t="str">
        <x:v>260</x:v>
      </x:c>
      <x:c r="F74" s="19" t="str"/>
      <x:c r="G74" s="19" t="str">
        <x:v>U bilaga 1 s.126</x:v>
      </x:c>
      <x:c r="H74" s="19" t="str">
        <x:v>Källvillkor avläst; tolka ihop med parent/meddelandeprofil och detaljerad segmentdefinition.</x:v>
      </x:c>
    </x:row>
    <x:row r="75" ht="50.400001525878906" customHeight="1">
      <x:c r="A75" s="19" t="str">
        <x:v>UG-126-13</x:v>
      </x:c>
      <x:c r="B75" s="19" t="str">
        <x:v>SG5/MEA/6311</x:v>
      </x:c>
      <x:c r="C75" s="19" t="str">
        <x:v>264</x:v>
      </x:c>
      <x:c r="D75" s="19" t="str"/>
      <x:c r="E75" s="19" t="str">
        <x:v>AAZ</x:v>
      </x:c>
      <x:c r="F75" s="19" t="str"/>
      <x:c r="G75" s="19" t="str">
        <x:v>U bilaga 1 s.126</x:v>
      </x:c>
      <x:c r="H75" s="19" t="str">
        <x:v>Källvillkor avläst; tolka ihop med parent/meddelandeprofil och detaljerad segmentdefinition.</x:v>
      </x:c>
    </x:row>
    <x:row r="76" ht="50.400001525878906" customHeight="1">
      <x:c r="A76" s="19" t="str">
        <x:v>UG-126-14</x:v>
      </x:c>
      <x:c r="B76" s="19" t="str">
        <x:v>SG5/MEA/C174/6411</x:v>
      </x:c>
      <x:c r="C76" s="19" t="str">
        <x:v>264</x:v>
      </x:c>
      <x:c r="D76" s="19" t="str">
        <x:v>Enhet</x:v>
      </x:c>
      <x:c r="E76" s="19" t="str">
        <x:v>KWH, KVR, KVA, KWT, MAW, 3B, GWH, K3, MWH, E08, MQH, MTQ, E46, D90, P1, HTZ</x:v>
      </x:c>
      <x:c r="F76" s="19" t="str"/>
      <x:c r="G76" s="19" t="str">
        <x:v>U bilaga 1 s.126</x:v>
      </x:c>
      <x:c r="H76" s="19" t="str">
        <x:v>Källvillkor avläst; tolka ihop med parent/meddelandeprofil och detaljerad segmentdefinition.</x:v>
      </x:c>
    </x:row>
    <x:row r="77" ht="50.400001525878906" customHeight="1">
      <x:c r="A77" s="19" t="str">
        <x:v>UG-126-16</x:v>
      </x:c>
      <x:c r="B77" s="19" t="str">
        <x:v>SG6/RFF/C506/1153</x:v>
      </x:c>
      <x:c r="C77" s="19" t="str">
        <x:v>503</x:v>
      </x:c>
      <x:c r="D77" s="19" t="str">
        <x:v>Referens till meddelandetyp</x:v>
      </x:c>
      <x:c r="E77" s="19" t="str">
        <x:v>E30, E31, E66, E72, E73, E74, S01, S02, S03, S04, S05, S06, S07</x:v>
      </x:c>
      <x:c r="F77" s="19" t="str"/>
      <x:c r="G77" s="19" t="str">
        <x:v>U bilaga 1 s.126</x:v>
      </x:c>
      <x:c r="H77" s="19" t="str">
        <x:v>Källvillkor avläst; tolka ihop med parent/meddelandeprofil och detaljerad segmentdefinition.</x:v>
      </x:c>
    </x:row>
    <x:row r="78" ht="50.400001525878906" customHeight="1">
      <x:c r="A78" s="19" t="str">
        <x:v>UG-126-17</x:v>
      </x:c>
      <x:c r="B78" s="19" t="str">
        <x:v>SG6/RFF/C506/1154</x:v>
      </x:c>
      <x:c r="C78" s="19" t="str">
        <x:v>504</x:v>
      </x:c>
      <x:c r="D78" s="19" t="str">
        <x:v>Referens till meddelandeid</x:v>
      </x:c>
      <x:c r="E78" s="19" t="str">
        <x:v>Om BGM/C002/1001=ERR: Ej blankt</x:v>
      </x:c>
      <x:c r="F78" s="19" t="str"/>
      <x:c r="G78" s="19" t="str">
        <x:v>U bilaga 1 s.126</x:v>
      </x:c>
      <x:c r="H78" s="19" t="str">
        <x:v>Källvillkor avläst; tolka ihop med parent/meddelandeprofil och detaljerad segmentdefinition.</x:v>
      </x:c>
    </x:row>
    <x:row r="79" ht="50.400001525878906" customHeight="1">
      <x:c r="A79" s="19" t="str">
        <x:v>UG-126-19</x:v>
      </x:c>
      <x:c r="B79" s="19" t="str">
        <x:v>SG6/RFF/C506/1153</x:v>
      </x:c>
      <x:c r="C79" s="19" t="str">
        <x:v>529</x:v>
      </x:c>
      <x:c r="D79" s="19" t="str"/>
      <x:c r="E79" s="19" t="str">
        <x:v>TN</x:v>
      </x:c>
      <x:c r="F79" s="19" t="str"/>
      <x:c r="G79" s="19" t="str">
        <x:v>U bilaga 1 s.126</x:v>
      </x:c>
      <x:c r="H79" s="19" t="str">
        <x:v>Källvillkor avläst; tolka ihop med parent/meddelandeprofil och detaljerad segmentdefinition.</x:v>
      </x:c>
    </x:row>
    <x:row r="80" ht="50.400001525878906" customHeight="1">
      <x:c r="A80" s="19" t="str">
        <x:v>UG-126-20</x:v>
      </x:c>
      <x:c r="B80" s="19" t="str">
        <x:v>SG6/RFF/C506/1154</x:v>
      </x:c>
      <x:c r="C80" s="19" t="str">
        <x:v>529</x:v>
      </x:c>
      <x:c r="D80" s="19" t="str">
        <x:v>Referens till transaktionsnr</x:v>
      </x:c>
      <x:c r="E80" s="19" t="str">
        <x:v>Ej blankt</x:v>
      </x:c>
      <x:c r="F80" s="19" t="str"/>
      <x:c r="G80" s="19" t="str">
        <x:v>U bilaga 1 s.126</x:v>
      </x:c>
      <x:c r="H80" s="19" t="str">
        <x:v>Källvillkor avläst; tolka ihop med parent/meddelandeprofil och detaljerad segmentdefinition.</x:v>
      </x:c>
    </x:row>
    <x:row r="81" ht="50.400001525878906" customHeight="1">
      <x:c r="A81" s="19" t="str">
        <x:v>UG-126-22</x:v>
      </x:c>
      <x:c r="B81" s="19" t="str">
        <x:v>SG6/RFF/C506/1153</x:v>
      </x:c>
      <x:c r="C81" s="19" t="str">
        <x:v>226</x:v>
      </x:c>
      <x:c r="D81" s="19" t="str"/>
      <x:c r="E81" s="19" t="str">
        <x:v>Fältet ska innehålla TN, men ingen avvisning sker av transaktionen om koden är felaktig.</x:v>
      </x:c>
      <x:c r="F81" s="19" t="str"/>
      <x:c r="G81" s="19" t="str">
        <x:v>U bilaga 1 s.126</x:v>
      </x:c>
      <x:c r="H81" s="19" t="str">
        <x:v>Källvillkor avläst; tolka ihop med parent/meddelandeprofil och detaljerad segmentdefinition.</x:v>
      </x:c>
    </x:row>
    <x:row r="82" ht="50.400001525878906" customHeight="1">
      <x:c r="A82" s="19" t="str">
        <x:v>UG-126-23</x:v>
      </x:c>
      <x:c r="B82" s="19" t="str">
        <x:v>SG6/RFF/C506/1154</x:v>
      </x:c>
      <x:c r="C82" s="19" t="str">
        <x:v>226</x:v>
      </x:c>
      <x:c r="D82" s="19" t="str">
        <x:v>Referens till PRODAT- ärendereferens</x:v>
      </x:c>
      <x:c r="E82" s="19" t="str">
        <x:v>Inga kontroller görs av fältet, se kapitel 3.6.12.</x:v>
      </x:c>
      <x:c r="F82" s="19" t="str"/>
      <x:c r="G82" s="19" t="str">
        <x:v>U bilaga 1 s.126</x:v>
      </x:c>
      <x:c r="H82" s="19" t="str">
        <x:v>Källvillkor avläst; tolka ihop med parent/meddelandeprofil och detaljerad segmentdefinition.</x:v>
      </x:c>
    </x:row>
    <x:row r="83" ht="50.400001525878906" customHeight="1">
      <x:c r="A83" s="19" t="str">
        <x:v>UG-126-25</x:v>
      </x:c>
      <x:c r="B83" s="19" t="str">
        <x:v>SG7/CCI/C240/7037</x:v>
      </x:c>
      <x:c r="C83" s="19" t="str">
        <x:v>507a (om möjligt)</x:v>
      </x:c>
      <x:c r="D83" s="19" t="str"/>
      <x:c r="E83" s="19" t="str">
        <x:v>E02, E12, Z01</x:v>
      </x:c>
      <x:c r="F83" s="19" t="str"/>
      <x:c r="G83" s="19" t="str">
        <x:v>U bilaga 1 s.126</x:v>
      </x:c>
      <x:c r="H83" s="19" t="str">
        <x:v>Källvillkor avläst; tolka ihop med parent/meddelandeprofil och detaljerad segmentdefinition.</x:v>
      </x:c>
    </x:row>
    <x:row r="84" ht="50.400001525878906" customHeight="1">
      <x:c r="A84" s="19" t="str">
        <x:v>UG-126-26</x:v>
      </x:c>
      <x:c r="B84" s="19" t="str">
        <x:v>SG7/CCI/C240/1131</x:v>
      </x:c>
      <x:c r="C84" s="19" t="str">
        <x:v>507a</x:v>
      </x:c>
      <x:c r="D84" s="19" t="str"/>
      <x:c r="E84" s="19" t="str">
        <x:v>SVK om 7037=Z01</x:v>
      </x:c>
      <x:c r="F84" s="19" t="str"/>
      <x:c r="G84" s="19" t="str">
        <x:v>U bilaga 1 s.126</x:v>
      </x:c>
      <x:c r="H84" s="19" t="str">
        <x:v>Källvillkor avläst; tolka ihop med parent/meddelandeprofil och detaljerad segmentdefinition.</x:v>
      </x:c>
    </x:row>
    <x:row r="85" ht="50.400001525878906" customHeight="1">
      <x:c r="A85" s="19" t="str">
        <x:v>UG-126-27</x:v>
      </x:c>
      <x:c r="B85" s="19" t="str">
        <x:v>SG7/CCI/C240/3055</x:v>
      </x:c>
      <x:c r="C85" s="19" t="str">
        <x:v>507a (om möjligt)</x:v>
      </x:c>
      <x:c r="D85" s="19" t="str"/>
      <x:c r="E85" s="19" t="str">
        <x:v>260</x:v>
      </x:c>
      <x:c r="F85" s="19" t="str"/>
      <x:c r="G85" s="19" t="str">
        <x:v>U bilaga 1 s.126</x:v>
      </x:c>
      <x:c r="H85" s="19" t="str">
        <x:v>Källvillkor avläst; tolka ihop med parent/meddelandeprofil och detaljerad segmentdefinition.</x:v>
      </x:c>
    </x:row>
    <x:row r="86" ht="50.400001525878906" customHeight="1">
      <x:c r="A86" s="19" t="str">
        <x:v>UG-127-3</x:v>
      </x:c>
      <x:c r="B86" s="19" t="str">
        <x:v>SG7/CAV/C889/7111</x:v>
      </x:c>
      <x:c r="C86" s="19" t="str">
        <x:v>254 513</x:v>
      </x:c>
      <x:c r="D86" s="19" t="str">
        <x:v>Avräkningsmetod Typ av anläggning(ar)</x:v>
      </x:c>
      <x:c r="E86" s="19" t="str">
        <x:v>E01, E02 om CCI/C240/7037 = E02 E17, E18, E19, E20 om CCI/C240/7037 = E12</x:v>
      </x:c>
      <x:c r="F86" s="19" t="str"/>
      <x:c r="G86" s="19" t="str">
        <x:v>U bilaga 1 s.127</x:v>
      </x:c>
      <x:c r="H86" s="19" t="str">
        <x:v>Källvillkor avläst; tolka ihop med parent/meddelandeprofil och detaljerad segmentdefinition.</x:v>
      </x:c>
    </x:row>
    <x:row r="87" ht="50.400001525878906" customHeight="1">
      <x:c r="A87" s="19" t="str">
        <x:v>UG-127-4</x:v>
      </x:c>
      <x:c r="B87" s="19" t="str">
        <x:v>SG7/CAV/C889/3055</x:v>
      </x:c>
      <x:c r="C87" s="19" t="str">
        <x:v>254 eller 513</x:v>
      </x:c>
      <x:c r="D87" s="19" t="str"/>
      <x:c r="E87" s="19" t="str">
        <x:v>260 om CCI/C240/7037 = E02 eller E12</x:v>
      </x:c>
      <x:c r="F87" s="19" t="str"/>
      <x:c r="G87" s="19" t="str">
        <x:v>U bilaga 1 s.127</x:v>
      </x:c>
      <x:c r="H87" s="19" t="str">
        <x:v>Källvillkor avläst; tolka ihop med parent/meddelandeprofil och detaljerad segmentdefinition.</x:v>
      </x:c>
    </x:row>
    <x:row r="88" ht="50.400001525878906" customHeight="1">
      <x:c r="A88" s="19" t="str">
        <x:v>UG-127-5</x:v>
      </x:c>
      <x:c r="B88" s="19" t="str">
        <x:v>SG7/CAV/C889/7110</x:v>
      </x:c>
      <x:c r="C88" s="19" t="str">
        <x:v>507a</x:v>
      </x:c>
      <x:c r="D88" s="19" t="str">
        <x:v>Antal mätpunkter</x:v>
      </x:c>
      <x:c r="E88" s="19" t="str">
        <x:v>Heltal &gt;= 0 om CCI/C240/7037 = Z01</x:v>
      </x:c>
      <x:c r="F88" s="19" t="str"/>
      <x:c r="G88" s="19" t="str">
        <x:v>U bilaga 1 s.127</x:v>
      </x:c>
      <x:c r="H88" s="19" t="str">
        <x:v>Källvillkor avläst; tolka ihop med parent/meddelandeprofil och detaljerad segmentdefinition.</x:v>
      </x:c>
    </x:row>
    <x:row r="89" ht="50.400001525878906" customHeight="1">
      <x:c r="A89" s="19" t="str">
        <x:v>UG-127-7</x:v>
      </x:c>
      <x:c r="B89" s="19" t="str">
        <x:v>SG8/SEQ/C286/1050</x:v>
      </x:c>
      <x:c r="C89" s="19" t="str">
        <x:v>514</x:v>
      </x:c>
      <x:c r="D89" s="19" t="str">
        <x:v>Observationsnr</x:v>
      </x:c>
      <x:c r="E89" s="19" t="str">
        <x:v>Ej blankt</x:v>
      </x:c>
      <x:c r="F89" s="19" t="str"/>
      <x:c r="G89" s="19" t="str">
        <x:v>U bilaga 1 s.127</x:v>
      </x:c>
      <x:c r="H89" s="19" t="str">
        <x:v>Källvillkor avläst; tolka ihop med parent/meddelandeprofil och detaljerad segmentdefinition.</x:v>
      </x:c>
    </x:row>
    <x:row r="90" ht="50.400001525878906" customHeight="1">
      <x:c r="A90" s="19" t="str">
        <x:v>UG-127-9</x:v>
      </x:c>
      <x:c r="B90" s="19" t="str">
        <x:v>SG8/RFF/C506/1153</x:v>
      </x:c>
      <x:c r="C90" s="19" t="str">
        <x:v>224 (om möjligt)</x:v>
      </x:c>
      <x:c r="D90" s="19" t="str"/>
      <x:c r="E90" s="19" t="str">
        <x:v>MG, SE</x:v>
      </x:c>
      <x:c r="F90" s="19" t="str"/>
      <x:c r="G90" s="19" t="str">
        <x:v>U bilaga 1 s.127</x:v>
      </x:c>
      <x:c r="H90" s="19" t="str">
        <x:v>Källvillkor avläst; tolka ihop med parent/meddelandeprofil och detaljerad segmentdefinition.</x:v>
      </x:c>
    </x:row>
    <x:row r="91" ht="50.400001525878906" customHeight="1">
      <x:c r="A91" s="19" t="str">
        <x:v>UG-127-10</x:v>
      </x:c>
      <x:c r="B91" s="19" t="str">
        <x:v>SG8/RFF/C506/1154</x:v>
      </x:c>
      <x:c r="C91" s="19" t="str">
        <x:v>224</x:v>
      </x:c>
      <x:c r="D91" s="19" t="str">
        <x:v>Mätarnummer</x:v>
      </x:c>
      <x:c r="E91" s="19" t="str">
        <x:v>Om 1153=SE, mätarnummer ska vara GS1-nr, kontrollera checksiffra. Om 1153=MG, ingen kontroll görs av (ev.) checksiffra.</x:v>
      </x:c>
      <x:c r="F91" s="19" t="str">
        <x:v>* Algoritm för kontroll av checksiffra, se längst ner i bilagan.</x:v>
      </x:c>
      <x:c r="G91" s="19" t="str">
        <x:v>U bilaga 1 s.127</x:v>
      </x:c>
      <x:c r="H91" s="19" t="str">
        <x:v>Källvillkor avläst; tolka ihop med parent/meddelandeprofil och detaljerad segmentdefinition.</x:v>
      </x:c>
    </x:row>
    <x:row r="92" ht="50.400001525878906" customHeight="1">
      <x:c r="A92" s="19" t="str">
        <x:v>UG-127-12</x:v>
      </x:c>
      <x:c r="B92" s="19" t="str">
        <x:v>SG8/RFF/C506/1153</x:v>
      </x:c>
      <x:c r="C92" s="19" t="str">
        <x:v>527 (om möjligt)</x:v>
      </x:c>
      <x:c r="D92" s="19" t="str"/>
      <x:c r="E92" s="19" t="str">
        <x:v>AES</x:v>
      </x:c>
      <x:c r="F92" s="19" t="str"/>
      <x:c r="G92" s="19" t="str">
        <x:v>U bilaga 1 s.127</x:v>
      </x:c>
      <x:c r="H92" s="19" t="str">
        <x:v>Källvillkor avläst; tolka ihop med parent/meddelandeprofil och detaljerad segmentdefinition.</x:v>
      </x:c>
    </x:row>
    <x:row r="93" ht="50.400001525878906" customHeight="1">
      <x:c r="A93" s="19" t="str">
        <x:v>UG-127-13</x:v>
      </x:c>
      <x:c r="B93" s="19" t="str">
        <x:v>SG8/RFF/C506/1154</x:v>
      </x:c>
      <x:c r="C93" s="19" t="str">
        <x:v>527</x:v>
      </x:c>
      <x:c r="D93" s="19" t="str">
        <x:v>RegisterId</x:v>
      </x:c>
      <x:c r="E93" s="19" t="str">
        <x:v>Ej blankt Den angivna koden kontrolleras mot ”master data” (strukturinformation), den kontrollen görs i Funktionskontrollen, se nedan.</x:v>
      </x:c>
      <x:c r="F93" s="19" t="str"/>
      <x:c r="G93" s="19" t="str">
        <x:v>U bilaga 1 s.127</x:v>
      </x:c>
      <x:c r="H93" s="19" t="str">
        <x:v>Källvillkor avläst; tolka ihop med parent/meddelandeprofil och detaljerad segmentdefinition.</x:v>
      </x:c>
    </x:row>
    <x:row r="94" ht="50.400001525878906" customHeight="1">
      <x:c r="A94" s="19" t="str">
        <x:v>UG-127-15</x:v>
      </x:c>
      <x:c r="B94" s="19" t="str">
        <x:v>SG8/MOA/C516/5025</x:v>
      </x:c>
      <x:c r="C94" s="19" t="str">
        <x:v>522</x:v>
      </x:c>
      <x:c r="D94" s="19" t="str"/>
      <x:c r="E94" s="19" t="str">
        <x:v>9</x:v>
      </x:c>
      <x:c r="F94" s="19" t="str"/>
      <x:c r="G94" s="19" t="str">
        <x:v>U bilaga 1 s.127</x:v>
      </x:c>
      <x:c r="H94" s="19" t="str">
        <x:v>Källvillkor avläst; tolka ihop med parent/meddelandeprofil och detaljerad segmentdefinition.</x:v>
      </x:c>
    </x:row>
    <x:row r="95" ht="50.400001525878906" customHeight="1">
      <x:c r="A95" s="19" t="str">
        <x:v>UG-127-16</x:v>
      </x:c>
      <x:c r="B95" s="19" t="str">
        <x:v>SG8/MOA/C516/5004</x:v>
      </x:c>
      <x:c r="C95" s="19" t="str">
        <x:v>522</x:v>
      </x:c>
      <x:c r="D95" s="19" t="str">
        <x:v>Belopp</x:v>
      </x:c>
      <x:c r="E95" s="19" t="str">
        <x:v>Numeriskt</x:v>
      </x:c>
      <x:c r="F95" s="19" t="str"/>
      <x:c r="G95" s="19" t="str">
        <x:v>U bilaga 1 s.127</x:v>
      </x:c>
      <x:c r="H95" s="19" t="str">
        <x:v>Källvillkor avläst; tolka ihop med parent/meddelandeprofil och detaljerad segmentdefinition.</x:v>
      </x:c>
    </x:row>
    <x:row r="96" ht="50.400001525878906" customHeight="1">
      <x:c r="A96" s="19" t="str">
        <x:v>UG-127-17</x:v>
      </x:c>
      <x:c r="B96" s="19" t="str">
        <x:v>SG8/MOA/C516/6345</x:v>
      </x:c>
      <x:c r="C96" s="19" t="str">
        <x:v>269a</x:v>
      </x:c>
      <x:c r="D96" s="19" t="str">
        <x:v>Valuta</x:v>
      </x:c>
      <x:c r="E96" s="19" t="str">
        <x:v>Tre bokstäver (A-Z)</x:v>
      </x:c>
      <x:c r="F96" s="19" t="str"/>
      <x:c r="G96" s="19" t="str">
        <x:v>U bilaga 1 s.127</x:v>
      </x:c>
      <x:c r="H96" s="19" t="str">
        <x:v>Källvillkor avläst; tolka ihop med parent/meddelandeprofil och detaljerad segmentdefinition.</x:v>
      </x:c>
    </x:row>
    <x:row r="97" ht="50.400001525878906" customHeight="1">
      <x:c r="A97" s="19" t="str">
        <x:v>UG-127-19</x:v>
      </x:c>
      <x:c r="B97" s="19" t="str">
        <x:v>SG10/PRI/C509/5125</x:v>
      </x:c>
      <x:c r="C97" s="19" t="str">
        <x:v>523</x:v>
      </x:c>
      <x:c r="D97" s="19" t="str"/>
      <x:c r="E97" s="19" t="str">
        <x:v>CAL</x:v>
      </x:c>
      <x:c r="F97" s="19" t="str"/>
      <x:c r="G97" s="19" t="str">
        <x:v>U bilaga 1 s.127</x:v>
      </x:c>
      <x:c r="H97" s="19" t="str">
        <x:v>Källvillkor avläst; tolka ihop med parent/meddelandeprofil och detaljerad segmentdefinition.</x:v>
      </x:c>
    </x:row>
    <x:row r="98" ht="50.400001525878906" customHeight="1">
      <x:c r="A98" s="19" t="str">
        <x:v>UG-127-20</x:v>
      </x:c>
      <x:c r="B98" s="19" t="str">
        <x:v>SG10/PRI/C509/5118</x:v>
      </x:c>
      <x:c r="C98" s="19" t="str">
        <x:v>523</x:v>
      </x:c>
      <x:c r="D98" s="19" t="str">
        <x:v>Pris</x:v>
      </x:c>
      <x:c r="E98" s="19" t="str">
        <x:v>Numeriskt</x:v>
      </x:c>
      <x:c r="F98" s="19" t="str"/>
      <x:c r="G98" s="19" t="str">
        <x:v>U bilaga 1 s.127</x:v>
      </x:c>
      <x:c r="H98" s="19" t="str">
        <x:v>Källvillkor avläst; tolka ihop med parent/meddelandeprofil och detaljerad segmentdefinition.</x:v>
      </x:c>
    </x:row>
    <x:row r="99" ht="50.400001525878906" customHeight="1">
      <x:c r="A99" s="19" t="str">
        <x:v>UG-127-21</x:v>
      </x:c>
      <x:c r="B99" s="19" t="str">
        <x:v>SG10/CUX/C504/6347</x:v>
      </x:c>
      <x:c r="C99" s="19" t="str">
        <x:v>269b</x:v>
      </x:c>
      <x:c r="D99" s="19" t="str"/>
      <x:c r="E99" s="19" t="str">
        <x:v>2</x:v>
      </x:c>
      <x:c r="F99" s="19" t="str"/>
      <x:c r="G99" s="19" t="str">
        <x:v>U bilaga 1 s.127</x:v>
      </x:c>
      <x:c r="H99" s="19" t="str">
        <x:v>Källvillkor avläst; tolka ihop med parent/meddelandeprofil och detaljerad segmentdefinition.</x:v>
      </x:c>
    </x:row>
    <x:row r="100" ht="50.400001525878906" customHeight="1">
      <x:c r="A100" s="19" t="str">
        <x:v>UG-127-22</x:v>
      </x:c>
      <x:c r="B100" s="19" t="str">
        <x:v>SG10/CUX/C504/6345</x:v>
      </x:c>
      <x:c r="C100" s="19" t="str">
        <x:v>269b</x:v>
      </x:c>
      <x:c r="D100" s="19" t="str">
        <x:v>Valuta</x:v>
      </x:c>
      <x:c r="E100" s="19" t="str">
        <x:v>Tre bokstäver (A-Z)</x:v>
      </x:c>
      <x:c r="F100" s="19" t="str"/>
      <x:c r="G100" s="19" t="str">
        <x:v>U bilaga 1 s.127</x:v>
      </x:c>
      <x:c r="H100" s="19" t="str">
        <x:v>Källvillkor avläst; tolka ihop med parent/meddelandeprofil och detaljerad segmentdefinition.</x:v>
      </x:c>
    </x:row>
    <x:row r="101" ht="50.400001525878906" customHeight="1">
      <x:c r="A101" s="19" t="str">
        <x:v>UG-127-24</x:v>
      </x:c>
      <x:c r="B101" s="19" t="str">
        <x:v>SG11/QTY/C186/6063</x:v>
      </x:c>
      <x:c r="C101" s="19" t="str">
        <x:v>516, 515, 517, eller 521 (om möjligt)</x:v>
      </x:c>
      <x:c r="D101" s="19" t="str"/>
      <x:c r="E101" s="19" t="str">
        <x:v>135, 136, 220, 42, 194, 195</x:v>
      </x:c>
      <x:c r="F101" s="19" t="str"/>
      <x:c r="G101" s="19" t="str">
        <x:v>U bilaga 1 s.127</x:v>
      </x:c>
      <x:c r="H101" s="19" t="str">
        <x:v>Källvillkor avläst; tolka ihop med parent/meddelandeprofil och detaljerad segmentdefinition.</x:v>
      </x:c>
    </x:row>
    <x:row r="102" ht="50.400001525878906" customHeight="1">
      <x:c r="A102" s="19" t="str">
        <x:v>UG-127-25</x:v>
      </x:c>
      <x:c r="B102" s="19" t="str">
        <x:v>SG11/QTY/C186/6060</x:v>
      </x:c>
      <x:c r="C102" s="19" t="str">
        <x:v>516, 515, 517, eller 521</x:v>
      </x:c>
      <x:c r="D102" s="19" t="str">
        <x:v>Uppnådd periodisk kvantitet, Planerad</x:v>
      </x:c>
      <x:c r="E102" s="19" t="str">
        <x:v>Numeriskt eller ”NULL”</x:v>
      </x:c>
      <x:c r="F102" s="19" t="str"/>
      <x:c r="G102" s="19" t="str">
        <x:v>U bilaga 1 s.127</x:v>
      </x:c>
      <x:c r="H102" s="19" t="str">
        <x:v>Källvillkor avläst; tolka ihop med parent/meddelandeprofil och detaljerad segmentdefinition.</x:v>
      </x:c>
    </x:row>
    <x:row r="103" ht="50.400001525878906" customHeight="1">
      <x:c r="A103" s="19" t="str">
        <x:v>UG-128-4</x:v>
      </x:c>
      <x:c r="B103" s="19" t="str">
        <x:v>SG11/DTM/C507/2005</x:v>
      </x:c>
      <x:c r="C103" s="19" t="str">
        <x:v>530a, 530b</x:v>
      </x:c>
      <x:c r="D103" s="19" t="str"/>
      <x:c r="E103" s="19" t="str">
        <x:v>597</x:v>
      </x:c>
      <x:c r="F103" s="19" t="str"/>
      <x:c r="G103" s="19" t="str">
        <x:v>U bilaga 1 s.128</x:v>
      </x:c>
      <x:c r="H103" s="19" t="str">
        <x:v>Källvillkor avläst; tolka ihop med parent/meddelandeprofil och detaljerad segmentdefinition.</x:v>
      </x:c>
    </x:row>
    <x:row r="104" ht="50.400001525878906" customHeight="1">
      <x:c r="A104" s="19" t="str">
        <x:v>UG-128-5</x:v>
      </x:c>
      <x:c r="B104" s="19" t="str">
        <x:v>SG11/DTM/C507/2380</x:v>
      </x:c>
      <x:c r="C104" s="19" t="str">
        <x:v>530a, 530b</x:v>
      </x:c>
      <x:c r="D104" s="19" t="str">
        <x:v>Datum för mätarställning, Tidpunkt för effektvärde</x:v>
      </x:c>
      <x:c r="E104" s="19" t="str">
        <x:v>Datum enligt format 203 (CCYYMMDDHHmm) Kontrollera att ej framtida datum</x:v>
      </x:c>
      <x:c r="F104" s="19" t="str"/>
      <x:c r="G104" s="19" t="str">
        <x:v>U bilaga 1 s.128</x:v>
      </x:c>
      <x:c r="H104" s="19" t="str">
        <x:v>Källvillkor avläst; tolka ihop med parent/meddelandeprofil och detaljerad segmentdefinition.</x:v>
      </x:c>
    </x:row>
    <x:row r="105" ht="50.400001525878906" customHeight="1">
      <x:c r="A105" s="19" t="str">
        <x:v>UG-128-6</x:v>
      </x:c>
      <x:c r="B105" s="19" t="str">
        <x:v>SG11/DTM/C507/2379</x:v>
      </x:c>
      <x:c r="C105" s="19" t="str">
        <x:v>530a, 530b</x:v>
      </x:c>
      <x:c r="D105" s="19" t="str"/>
      <x:c r="E105" s="19" t="str">
        <x:v>203</x:v>
      </x:c>
      <x:c r="F105" s="19" t="str"/>
      <x:c r="G105" s="19" t="str">
        <x:v>U bilaga 1 s.128</x:v>
      </x:c>
      <x:c r="H105" s="19" t="str">
        <x:v>Källvillkor avläst; tolka ihop med parent/meddelandeprofil och detaljerad segmentdefinition.</x:v>
      </x:c>
    </x:row>
    <x:row r="106" ht="50.400001525878906" customHeight="1">
      <x:c r="A106" s="19" t="str">
        <x:v>UG-128-8</x:v>
      </x:c>
      <x:c r="B106" s="19" t="str">
        <x:v>SG11/STS/C601/9015</x:v>
      </x:c>
      <x:c r="C106" s="19" t="str">
        <x:v>520 (om möjligt)</x:v>
      </x:c>
      <x:c r="D106" s="19" t="str"/>
      <x:c r="E106" s="19" t="str">
        <x:v>8</x:v>
      </x:c>
      <x:c r="F106" s="19" t="str"/>
      <x:c r="G106" s="19" t="str">
        <x:v>U bilaga 1 s.128</x:v>
      </x:c>
      <x:c r="H106" s="19" t="str">
        <x:v>Källvillkor avläst; tolka ihop med parent/meddelandeprofil och detaljerad segmentdefinition.</x:v>
      </x:c>
    </x:row>
    <x:row r="107" ht="50.400001525878906" customHeight="1">
      <x:c r="A107" s="19" t="str">
        <x:v>UG-128-9</x:v>
      </x:c>
      <x:c r="B107" s="19" t="str">
        <x:v>SG11/STS/C555/4405</x:v>
      </x:c>
      <x:c r="C107" s="19" t="str">
        <x:v>520</x:v>
      </x:c>
      <x:c r="D107" s="19" t="str">
        <x:v>Kvantitetskvalitet</x:v>
      </x:c>
      <x:c r="E107" s="19" t="str">
        <x:v>21, 46, 56, 113, 125</x:v>
      </x:c>
      <x:c r="F107" s="19" t="str"/>
      <x:c r="G107" s="19" t="str">
        <x:v>U bilaga 1 s.128</x:v>
      </x:c>
      <x:c r="H107" s="19" t="str">
        <x:v>Källvillkor avläst; tolka ihop med parent/meddelandeprofil och detaljerad segmentdefinition.</x:v>
      </x:c>
    </x:row>
    <x:row r="108" ht="50.400001525878906" customHeight="1">
      <x:c r="A108" s="19" t="str">
        <x:v>UG-128-11</x:v>
      </x:c>
      <x:c r="B108" s="19" t="str">
        <x:v>SG12/CCI/C240/7037</x:v>
      </x:c>
      <x:c r="C108" s="19" t="str">
        <x:v>259 (om möjligt)</x:v>
      </x:c>
      <x:c r="D108" s="19" t="str"/>
      <x:c r="E108" s="19" t="str">
        <x:v>E07</x:v>
      </x:c>
      <x:c r="F108" s="19" t="str"/>
      <x:c r="G108" s="19" t="str">
        <x:v>U bilaga 1 s.128</x:v>
      </x:c>
      <x:c r="H108" s="19" t="str">
        <x:v>Källvillkor avläst; tolka ihop med parent/meddelandeprofil och detaljerad segmentdefinition.</x:v>
      </x:c>
    </x:row>
    <x:row r="109" ht="50.400001525878906" customHeight="1">
      <x:c r="A109" s="19" t="str">
        <x:v>UG-128-12</x:v>
      </x:c>
      <x:c r="B109" s="19" t="str">
        <x:v>SG12/CCI/C240/3055</x:v>
      </x:c>
      <x:c r="C109" s="19" t="str">
        <x:v>259</x:v>
      </x:c>
      <x:c r="D109" s="19" t="str"/>
      <x:c r="E109" s="19" t="str">
        <x:v>260</x:v>
      </x:c>
      <x:c r="F109" s="19" t="str"/>
      <x:c r="G109" s="19" t="str">
        <x:v>U bilaga 1 s.128</x:v>
      </x:c>
      <x:c r="H109" s="19" t="str">
        <x:v>Källvillkor avläst; tolka ihop med parent/meddelandeprofil och detaljerad segmentdefinition.</x:v>
      </x:c>
    </x:row>
    <x:row r="110" ht="50.400001525878906" customHeight="1">
      <x:c r="A110" s="19" t="str">
        <x:v>UG-128-14</x:v>
      </x:c>
      <x:c r="B110" s="19" t="str">
        <x:v>SG12/CAV/C889/7111</x:v>
      </x:c>
      <x:c r="C110" s="19" t="str">
        <x:v>259</x:v>
      </x:c>
      <x:c r="D110" s="19" t="str">
        <x:v>Tidsintervall</x:v>
      </x:c>
      <x:c r="E110" s="19" t="str">
        <x:v>E12</x:v>
      </x:c>
      <x:c r="F110" s="19" t="str"/>
      <x:c r="G110" s="19" t="str">
        <x:v>U bilaga 1 s.128</x:v>
      </x:c>
      <x:c r="H110" s="19" t="str">
        <x:v>Källvillkor avläst; tolka ihop med parent/meddelandeprofil och detaljerad segmentdefinition.</x:v>
      </x:c>
    </x:row>
    <x:row r="111" ht="50.400001525878906" customHeight="1">
      <x:c r="A111" s="19" t="str">
        <x:v>UG-128-15</x:v>
      </x:c>
      <x:c r="B111" s="19" t="str">
        <x:v>SG12/CAV/C889/3055</x:v>
      </x:c>
      <x:c r="C111" s="19" t="str">
        <x:v>259</x:v>
      </x:c>
      <x:c r="D111" s="19" t="str"/>
      <x:c r="E111" s="19" t="str">
        <x:v>260</x:v>
      </x:c>
      <x:c r="F111" s="19" t="str"/>
      <x:c r="G111" s="19" t="str">
        <x:v>U bilaga 1 s.128</x:v>
      </x:c>
      <x:c r="H111" s="19" t="str">
        <x:v>Källvillkor avläst; tolka ihop med parent/meddelandeprofil och detaljerad segmentdefinition.</x:v>
      </x:c>
    </x:row>
    <x:row r="112" ht="50.400001525878906" customHeight="1">
      <x:c r="A112" s="19" t="str">
        <x:v>UG-128-17</x:v>
      </x:c>
      <x:c r="B112" s="19" t="str">
        <x:v>SG12/CCI/C240/7037</x:v>
      </x:c>
      <x:c r="C112" s="19" t="str">
        <x:v>309 (om möjligt)</x:v>
      </x:c>
      <x:c r="D112" s="19" t="str"/>
      <x:c r="E112" s="19" t="str">
        <x:v>E22</x:v>
      </x:c>
      <x:c r="F112" s="19" t="str"/>
      <x:c r="G112" s="19" t="str">
        <x:v>U bilaga 1 s.128</x:v>
      </x:c>
      <x:c r="H112" s="19" t="str">
        <x:v>Källvillkor avläst; tolka ihop med parent/meddelandeprofil och detaljerad segmentdefinition.</x:v>
      </x:c>
    </x:row>
    <x:row r="113" ht="50.400001525878906" customHeight="1">
      <x:c r="A113" s="19" t="str">
        <x:v>UG-128-18</x:v>
      </x:c>
      <x:c r="B113" s="19" t="str">
        <x:v>SG12/CCI/C240/3055</x:v>
      </x:c>
      <x:c r="C113" s="19" t="str">
        <x:v>309</x:v>
      </x:c>
      <x:c r="D113" s="19" t="str"/>
      <x:c r="E113" s="19" t="str">
        <x:v>260</x:v>
      </x:c>
      <x:c r="F113" s="19" t="str"/>
      <x:c r="G113" s="19" t="str">
        <x:v>U bilaga 1 s.128</x:v>
      </x:c>
      <x:c r="H113" s="19" t="str">
        <x:v>Källvillkor avläst; tolka ihop med parent/meddelandeprofil och detaljerad segmentdefinition.</x:v>
      </x:c>
    </x:row>
    <x:row r="114" ht="50.400001525878906" customHeight="1">
      <x:c r="A114" s="19" t="str">
        <x:v>UG-128-20</x:v>
      </x:c>
      <x:c r="B114" s="19" t="str">
        <x:v>SG12/CAV/C889/7111</x:v>
      </x:c>
      <x:c r="C114" s="19" t="str">
        <x:v>309</x:v>
      </x:c>
      <x:c r="D114" s="19" t="str">
        <x:v>Mätaravläsare</x:v>
      </x:c>
      <x:c r="E114" s="19" t="str">
        <x:v>E26, E27, E28</x:v>
      </x:c>
      <x:c r="F114" s="19" t="str"/>
      <x:c r="G114" s="19" t="str">
        <x:v>U bilaga 1 s.128</x:v>
      </x:c>
      <x:c r="H114" s="19" t="str">
        <x:v>Källvillkor avläst; tolka ihop med parent/meddelandeprofil och detaljerad segmentdefinition.</x:v>
      </x:c>
    </x:row>
    <x:row r="115" ht="50.400001525878906" customHeight="1">
      <x:c r="A115" s="19" t="str">
        <x:v>UG-128-21</x:v>
      </x:c>
      <x:c r="B115" s="19" t="str">
        <x:v>SG12/CAV/C889/3055</x:v>
      </x:c>
      <x:c r="C115" s="19" t="str">
        <x:v>309</x:v>
      </x:c>
      <x:c r="D115" s="19" t="str"/>
      <x:c r="E115" s="19" t="str">
        <x:v>260</x:v>
      </x:c>
      <x:c r="F115" s="19" t="str"/>
      <x:c r="G115" s="19" t="str">
        <x:v>U bilaga 1 s.128</x:v>
      </x:c>
      <x:c r="H115" s="19" t="str">
        <x:v>Källvillkor avläst; tolka ihop med parent/meddelandeprofil och detaljerad segmentdefinition.</x:v>
      </x:c>
    </x:row>
    <x:row r="116" ht="50.400001525878906" customHeight="1">
      <x:c r="A116" s="19" t="str">
        <x:v>UG-128-23</x:v>
      </x:c>
      <x:c r="B116" s="19" t="str">
        <x:v>SG12/CCI/C240/7037</x:v>
      </x:c>
      <x:c r="C116" s="19" t="str">
        <x:v>507b (om möjligt)</x:v>
      </x:c>
      <x:c r="D116" s="19" t="str"/>
      <x:c r="E116" s="19" t="str">
        <x:v>Z01</x:v>
      </x:c>
      <x:c r="F116" s="19" t="str"/>
      <x:c r="G116" s="19" t="str">
        <x:v>U bilaga 1 s.128</x:v>
      </x:c>
      <x:c r="H116" s="19" t="str">
        <x:v>Källvillkor avläst; tolka ihop med parent/meddelandeprofil och detaljerad segmentdefinition.</x:v>
      </x:c>
    </x:row>
    <x:row r="117" ht="50.400001525878906" customHeight="1">
      <x:c r="A117" s="19" t="str">
        <x:v>UG-128-24</x:v>
      </x:c>
      <x:c r="B117" s="19" t="str">
        <x:v>SG12/CCI/C240/1131</x:v>
      </x:c>
      <x:c r="C117" s="19" t="str">
        <x:v>507b</x:v>
      </x:c>
      <x:c r="D117" s="19" t="str"/>
      <x:c r="E117" s="19" t="str">
        <x:v>SVK om 7037=Z01</x:v>
      </x:c>
      <x:c r="F117" s="19" t="str"/>
      <x:c r="G117" s="19" t="str">
        <x:v>U bilaga 1 s.128</x:v>
      </x:c>
      <x:c r="H117" s="19" t="str">
        <x:v>Källvillkor avläst; tolka ihop med parent/meddelandeprofil och detaljerad segmentdefinition.</x:v>
      </x:c>
    </x:row>
    <x:row r="118" ht="50.400001525878906" customHeight="1">
      <x:c r="A118" s="19" t="str">
        <x:v>UG-128-25</x:v>
      </x:c>
      <x:c r="B118" s="19" t="str">
        <x:v>SG12/CCI/C240/3055</x:v>
      </x:c>
      <x:c r="C118" s="19" t="str">
        <x:v>507b</x:v>
      </x:c>
      <x:c r="D118" s="19" t="str"/>
      <x:c r="E118" s="19" t="str">
        <x:v>260</x:v>
      </x:c>
      <x:c r="F118" s="19" t="str"/>
      <x:c r="G118" s="19" t="str">
        <x:v>U bilaga 1 s.128</x:v>
      </x:c>
      <x:c r="H118" s="19" t="str">
        <x:v>Källvillkor avläst; tolka ihop med parent/meddelandeprofil och detaljerad segmentdefinition.</x:v>
      </x:c>
    </x:row>
    <x:row r="119" ht="50.400001525878906" customHeight="1">
      <x:c r="A119" s="19" t="str">
        <x:v>UG-128-27</x:v>
      </x:c>
      <x:c r="B119" s="19" t="str">
        <x:v>SG12/CAV/C889/7110</x:v>
      </x:c>
      <x:c r="C119" s="19" t="str">
        <x:v>507b</x:v>
      </x:c>
      <x:c r="D119" s="19" t="str">
        <x:v>Avvikande antal mätpunkter</x:v>
      </x:c>
      <x:c r="E119" s="19" t="str">
        <x:v>Heltal &gt;=0</x:v>
      </x:c>
      <x:c r="F119" s="19" t="str"/>
      <x:c r="G119" s="19" t="str">
        <x:v>U bilaga 1 s.128</x:v>
      </x:c>
      <x:c r="H119" s="19" t="str">
        <x:v>Källvillkor avläst; tolka ihop med parent/meddelandeprofil och detaljerad segmentdefinition.</x:v>
      </x:c>
    </x:row>
  </x:sheetData>
  <x:mergeCells>
    <x:mergeCell ref="A1:H1"/>
    <x:mergeCell ref="A2:H2"/>
  </x:mergeCells>
  <x:pageMargins left="0.7" right="0.7" top="0.75" bottom="0.75" header="0.3" footer="0.3"/>
  <x:tableParts count="1">
    <x:tablePart xmlns:r="http://schemas.openxmlformats.org/officeDocument/2006/relationships" r:id="R45e79cb0b44f4993"/>
  </x:tableParts>
</x:worksheet>
</file>

<file path=xl/worksheets/sheet10.xml><?xml version="1.0" encoding="utf-8"?>
<x:worksheet xmlns:x="http://schemas.openxmlformats.org/spreadsheetml/2006/main">
  <x:sheetFormatPr defaultRowHeight="15"/>
  <x:cols>
    <x:col min="1" max="1" width="25" hidden="0" customWidth="1"/>
    <x:col min="2" max="2" width="27" hidden="0" customWidth="1"/>
    <x:col min="3" max="3" width="65" hidden="0" customWidth="1"/>
    <x:col min="4" max="4" width="55" hidden="0" customWidth="1"/>
    <x:col min="5" max="5" width="55" hidden="0" customWidth="1"/>
    <x:col min="6" max="6" width="55" hidden="0" customWidth="1"/>
    <x:col min="7" max="7" width="38" hidden="0" customWidth="1"/>
  </x:cols>
  <x:sheetData>
    <x:row r="1" ht="30" customHeight="1">
      <x:c r="A1" s="3" t="str">
        <x:v>Fel och svar · Gridex Ediel v2</x:v>
      </x:c>
      <x:c r="B1" s="3"/>
      <x:c r="C1" s="3"/>
      <x:c r="D1" s="3"/>
      <x:c r="E1" s="3"/>
      <x:c r="F1" s="3"/>
      <x:c r="G1" s="3"/>
    </x:row>
    <x:row r="2" ht="34" customHeight="1">
      <x:c r="A2" s="8" t="str">
        <x:v>Nationell kontroll och funktionskontroll är skilda. Interna fel får inte bli påhittade Ediel-avvisningar.</x:v>
      </x:c>
      <x:c r="B2" s="8"/>
      <x:c r="C2" s="8"/>
      <x:c r="D2" s="8"/>
      <x:c r="E2" s="8"/>
      <x:c r="F2" s="8"/>
      <x:c r="G2" s="8"/>
    </x:row>
    <x:row r="4" ht="37" customHeight="1">
      <x:c r="A4" s="14" t="str">
        <x:v>Kontroll-id</x:v>
      </x:c>
      <x:c r="B4" s="14" t="str">
        <x:v>Nivå</x:v>
      </x:c>
      <x:c r="C4" s="14" t="str">
        <x:v>Kontroll</x:v>
      </x:c>
      <x:c r="D4" s="14" t="str">
        <x:v>Godkänt</x:v>
      </x:c>
      <x:c r="E4" s="14" t="str">
        <x:v>Fel</x:v>
      </x:c>
      <x:c r="F4" s="14" t="str">
        <x:v>Svar</x:v>
      </x:c>
      <x:c r="G4" s="14" t="str">
        <x:v>Källa</x:v>
      </x:c>
    </x:row>
    <x:row r="5" ht="36.599998474121094" customHeight="1">
      <x:c r="A5" s="19" t="str">
        <x:v>CV-SYNTAX</x:v>
      </x:c>
      <x:c r="B5" s="19" t="str">
        <x:v>interchange/message</x:v>
      </x:c>
      <x:c r="C5" s="19" t="str">
        <x:v>Full UNSM-syntax plus Ediels CONTRL-avvikelser: envelope, ordning, tillåtna element, typer/längder, räknare och referenser.</x:v>
      </x:c>
      <x:c r="D5" s="19" t="str">
        <x:v>Planera positiv CONTRL; nationell kontroll återstår.</x:v>
      </x:c>
      <x:c r="E5" s="19" t="str">
        <x:v>Negativ CONTRL på rätt nivå med korrekt UCI/UCM/UCS/UCD-position.</x:v>
      </x:c>
      <x:c r="F5" s="19" t="str">
        <x:v>CONTRL:2:2:UN; 0083=1 eller4; aldrig kvittens på CONTRL.</x:v>
      </x:c>
      <x:c r="G5" s="19" t="str">
        <x:v>T §2.1 s.12–18</x:v>
      </x:c>
    </x:row>
    <x:row r="6" ht="36.599998474121094" customHeight="1">
      <x:c r="A6" s="19" t="str">
        <x:v>CV-P-HEADER</x:v>
      </x:c>
      <x:c r="B6" s="19" t="str">
        <x:v>PRODAT-header</x:v>
      </x:c>
      <x:c r="C6" s="19" t="str">
        <x:v>Nationella huvudfält och obruten LIN-sekvens enligt P; skilj faktisk syntax från nationellt R-fält.</x:v>
      </x:c>
      <x:c r="D6" s="19" t="str">
        <x:v>Validera varje objekt/register.</x:v>
      </x:c>
      <x:c r="E6" s="19" t="str">
        <x:v>Hela meddelandet avvisas med rätt P-APERAK; BGM27 enligt felet.</x:v>
      </x:c>
      <x:c r="F6" s="19" t="str">
        <x:v>APERAK D96A/E2SE6A; t.ex. ERC41/42 med riktigt fältnr, alternativt40/särskild kod.</x:v>
      </x:c>
      <x:c r="G6" s="19" t="str">
        <x:v>P §3.2–3.3 och bilaga4</x:v>
      </x:c>
    </x:row>
    <x:row r="7" ht="36.599998474121094" customHeight="1">
      <x:c r="A7" s="19" t="str">
        <x:v>CV-P-OBJECT</x:v>
      </x:c>
      <x:c r="B7" s="19" t="str">
        <x:v>PRODAT-object</x:v>
      </x:c>
      <x:c r="C7" s="19" t="str">
        <x:v>Kombinera basfält, subtype, D-villkor, parentgrupp, registeroverlay och affärsvillkor.</x:v>
      </x:c>
      <x:c r="D7" s="19" t="str">
        <x:v>Godkänn/lagra objektets tillåtna effekt.</x:v>
      </x:c>
      <x:c r="E7" s="19" t="str">
        <x:v>Avvisa endast rätt objekt när huvudet är korrekt; bevara syskon.</x:v>
      </x:c>
      <x:c r="F7" s="19" t="str">
        <x:v>P-APERAK: ERC100/FTX OK eller40/41/42; RFF Z07/LI när de finns.</x:v>
      </x:c>
      <x:c r="G7" s="19" t="str">
        <x:v>P §3 s.85–105</x:v>
      </x:c>
    </x:row>
    <x:row r="8" ht="36.599998474121094" customHeight="1">
      <x:c r="A8" s="19" t="str">
        <x:v>CV-U-HEADER</x:v>
      </x:c>
      <x:c r="B8" s="19" t="str">
        <x:v>UTILTS-header</x:v>
      </x:c>
      <x:c r="C8" s="19" t="str">
        <x:v>Nationell anvisningskontroll innan enskilda transaktioners funktionskontroll.</x:v>
      </x:c>
      <x:c r="D8" s="19" t="str">
        <x:v>Validera transaktionernas anvisningskrav.</x:v>
      </x:c>
      <x:c r="E8" s="19" t="str">
        <x:v>Avvisa hela meddelandet; kör inte senare funktionskontroller.</x:v>
      </x:c>
      <x:c r="F8" s="19" t="str">
        <x:v>U-APERAK BGM313; DOC originalBGM om känt; ingen påhittad ACW till IDE.</x:v>
      </x:c>
      <x:c r="G8" s="19" t="str">
        <x:v>U §5.2 s.107; bilaga1</x:v>
      </x:c>
    </x:row>
    <x:row r="9" ht="64.19999694824219" customHeight="1">
      <x:c r="A9" s="19" t="str">
        <x:v>CV-U-GUIDE</x:v>
      </x:c>
      <x:c r="B9" s="19" t="str">
        <x:v>UTILTS-transaction</x:v>
      </x:c>
      <x:c r="C9" s="19" t="str">
        <x:v>Obligatoriska fält, tillåtna koder, föräldragrupper och begärda meddelandetypens profil.</x:v>
      </x:c>
      <x:c r="D9" s="19" t="str">
        <x:v>Kör funktionskontroll för denna transaktion.</x:v>
      </x:c>
      <x:c r="E9" s="19" t="str">
        <x:v>Ingen funktionskontroll för denna transaktion; syskon fortsätter.</x:v>
      </x:c>
      <x:c r="F9" s="19" t="str">
        <x:v>U-APERAK 313; ERC41/42; FTX verkligt fältnr; DM+nyttID/ACW+ursprungligt IDE-ID. Bilaga1 medger i särskilda om-möjligt-fall en källstyrd segment-/elementreferens, högst17tecken.</x:v>
      </x:c>
      <x:c r="G9" s="19" t="str">
        <x:v>U §5.2,5.5; bilaga1</x:v>
      </x:c>
    </x:row>
    <x:row r="10" ht="36.599998474121094" customHeight="1">
      <x:c r="A10" s="19" t="str">
        <x:v>CV-U-STORE</x:v>
      </x:c>
      <x:c r="B10" s="19" t="str">
        <x:v>UTILTS-transaction</x:v>
      </x:c>
      <x:c r="C10" s="19" t="str">
        <x:v>Funktionskontroller passerade och beständig lagring/transaktionsbeslut klar.</x:v>
      </x:c>
      <x:c r="D10" s="19" t="str">
        <x:v>Spara ny version eller registrera tidigare giltig version som äldre; publicera bara rätt projektion.</x:v>
      </x:c>
      <x:c r="E10" s="19" t="str">
        <x:v>DB-/internfel hålls som intern incident; fabricera inte godkänd lagring eller godtycklig extern felkod.</x:v>
      </x:c>
      <x:c r="F10" s="19" t="str">
        <x:v>U-APERAK312/100 efter lyckad affärsbehandling.</x:v>
      </x:c>
      <x:c r="G10" s="19" t="str">
        <x:v>U §5.2 s.107; SYS transaktionsdesign</x:v>
      </x:c>
    </x:row>
    <x:row r="11" ht="50.400001525878906" customHeight="1">
      <x:c r="A11" s="19" t="str">
        <x:v>CV-U-FN-207</x:v>
      </x:c>
      <x:c r="B11" s="19" t="str">
        <x:v>UTILTS-transaction efter godkänd anvisningskontroll</x:v>
      </x:c>
      <x:c r="C11" s="19" t="str">
        <x:v>Avsändarens behörighet i aktuell roll mot mottagarens giltiga struktur.</x:v>
      </x:c>
      <x:c r="D11" s="19" t="str">
        <x:v>Fortsätt återstående tillämpliga kontroller.</x:v>
      </x:c>
      <x:c r="E11" s="19" t="str">
        <x:v>Markera transaktionen processability_rejected.</x:v>
      </x:c>
      <x:c r="F11" s="19" t="str">
        <x:v>UTILTS BGM ERR med avvisningsorsak E55 nätägare / E16 leverantör / E18 balansansvarig; ingen senare positiv APERAK för samma transaktion.</x:v>
      </x:c>
      <x:c r="G11" s="19" t="str">
        <x:v>U bilaga2 s.130</x:v>
      </x:c>
    </x:row>
    <x:row r="12" ht="50.400001525878906" customHeight="1">
      <x:c r="A12" s="19" t="str">
        <x:v>CV-U-FN-209</x:v>
      </x:c>
      <x:c r="B12" s="19" t="str">
        <x:v>UTILTS-transaction efter godkänd anvisningskontroll</x:v>
      </x:c>
      <x:c r="C12" s="19" t="str">
        <x:v>Anläggning/reglerobjekt identifieras i den relevanta aktörens och behörighetens struktur; inte genom att leta i samtliga tenants.</x:v>
      </x:c>
      <x:c r="D12" s="19" t="str">
        <x:v>Fortsätt återstående tillämpliga kontroller.</x:v>
      </x:c>
      <x:c r="E12" s="19" t="str">
        <x:v>Markera transaktionen processability_rejected.</x:v>
      </x:c>
      <x:c r="F12" s="19" t="str">
        <x:v>UTILTS BGM ERR med avvisningsorsak E10; ingen senare positiv APERAK för samma transaktion.</x:v>
      </x:c>
      <x:c r="G12" s="19" t="str">
        <x:v>U bilaga2 s.130</x:v>
      </x:c>
    </x:row>
    <x:row r="13" ht="50.400001525878906" customHeight="1">
      <x:c r="A13" s="19" t="str">
        <x:v>CV-U-FN-260</x:v>
      </x:c>
      <x:c r="B13" s="19" t="str">
        <x:v>UTILTS-transaction efter godkänd anvisningskontroll</x:v>
      </x:c>
      <x:c r="C13" s="19" t="str">
        <x:v>Rätt nätområde och områdestyp i kombination med identifierat objekt.</x:v>
      </x:c>
      <x:c r="D13" s="19" t="str">
        <x:v>Fortsätt återstående tillämpliga kontroller.</x:v>
      </x:c>
      <x:c r="E13" s="19" t="str">
        <x:v>Markera transaktionen processability_rejected.</x:v>
      </x:c>
      <x:c r="F13" s="19" t="str">
        <x:v>UTILTS BGM ERR med avvisningsorsak E49; ingen senare positiv APERAK för samma transaktion.</x:v>
      </x:c>
      <x:c r="G13" s="19" t="str">
        <x:v>U bilaga2 s.130</x:v>
      </x:c>
    </x:row>
    <x:row r="14" ht="50.400001525878906" customHeight="1">
      <x:c r="A14" s="19" t="str">
        <x:v>CV-U-FN-511</x:v>
      </x:c>
      <x:c r="B14" s="19" t="str">
        <x:v>UTILTS-transaction efter godkänd anvisningskontroll</x:v>
      </x:c>
      <x:c r="C14" s="19" t="str">
        <x:v>Tidsserieproduktens egenskaper plus relevanta områden/parter definierar en giltig tidsserieinstans.</x:v>
      </x:c>
      <x:c r="D14" s="19" t="str">
        <x:v>Fortsätt återstående tillämpliga kontroller.</x:v>
      </x:c>
      <x:c r="E14" s="19" t="str">
        <x:v>Markera transaktionen processability_rejected.</x:v>
      </x:c>
      <x:c r="F14" s="19" t="str">
        <x:v>UTILTS BGM ERR med avvisningsorsak E29; ingen senare positiv APERAK för samma transaktion.</x:v>
      </x:c>
      <x:c r="G14" s="19" t="str">
        <x:v>U bilaga2 s.130</x:v>
      </x:c>
    </x:row>
    <x:row r="15" ht="50.400001525878906" customHeight="1">
      <x:c r="A15" s="19" t="str">
        <x:v>CV-U-FN-245</x:v>
      </x:c>
      <x:c r="B15" s="19" t="str">
        <x:v>UTILTS-transaction efter godkänd anvisningskontroll</x:v>
      </x:c>
      <x:c r="C15" s="19" t="str">
        <x:v>Leveransperiod/upplösning/registreringstid och tillämpliga periodregler stämmer.</x:v>
      </x:c>
      <x:c r="D15" s="19" t="str">
        <x:v>Fortsätt återstående tillämpliga kontroller.</x:v>
      </x:c>
      <x:c r="E15" s="19" t="str">
        <x:v>Markera transaktionen processability_rejected.</x:v>
      </x:c>
      <x:c r="F15" s="19" t="str">
        <x:v>UTILTS BGM ERR med avvisningsorsak E50; ingen senare positiv APERAK för samma transaktion.</x:v>
      </x:c>
      <x:c r="G15" s="19" t="str">
        <x:v>U bilaga2 s.130–131</x:v>
      </x:c>
    </x:row>
    <x:row r="16" ht="50.400001525878906" customHeight="1">
      <x:c r="A16" s="19" t="str">
        <x:v>CV-U-FN-210</x:v>
      </x:c>
      <x:c r="B16" s="19" t="str">
        <x:v>UTILTS-transaction efter godkänd anvisningskontroll</x:v>
      </x:c>
      <x:c r="C16" s="19" t="str">
        <x:v>Vid leverantörsbytesanknutet fall: korrekt byteshändelse finns; inte ett globalt krav på ESCO E66.</x:v>
      </x:c>
      <x:c r="D16" s="19" t="str">
        <x:v>Fortsätt återstående tillämpliga kontroller.</x:v>
      </x:c>
      <x:c r="E16" s="19" t="str">
        <x:v>Markera transaktionen processability_rejected.</x:v>
      </x:c>
      <x:c r="F16" s="19" t="str">
        <x:v>UTILTS BGM ERR med avvisningsorsak E47; ingen senare positiv APERAK för samma transaktion.</x:v>
      </x:c>
      <x:c r="G16" s="19" t="str">
        <x:v>U bilaga2 s.131</x:v>
      </x:c>
    </x:row>
    <x:row r="17" ht="50.400001525878906" customHeight="1">
      <x:c r="A17" s="19" t="str">
        <x:v>CV-U-FN-264</x:v>
      </x:c>
      <x:c r="B17" s="19" t="str">
        <x:v>UTILTS-transaction efter godkänd anvisningskontroll</x:v>
      </x:c>
      <x:c r="C17" s="19" t="str">
        <x:v>Enhet stämmer med aktuell produkt och struktur.</x:v>
      </x:c>
      <x:c r="D17" s="19" t="str">
        <x:v>Fortsätt återstående tillämpliga kontroller.</x:v>
      </x:c>
      <x:c r="E17" s="19" t="str">
        <x:v>Markera transaktionen processability_rejected.</x:v>
      </x:c>
      <x:c r="F17" s="19" t="str">
        <x:v>UTILTS BGM ERR med avvisningsorsak E73; ingen senare positiv APERAK för samma transaktion.</x:v>
      </x:c>
      <x:c r="G17" s="19" t="str">
        <x:v>U bilaga2 s.131</x:v>
      </x:c>
    </x:row>
    <x:row r="18" ht="50.400001525878906" customHeight="1">
      <x:c r="A18" s="19" t="str">
        <x:v>CV-U-FN-224</x:v>
      </x:c>
      <x:c r="B18" s="19" t="str">
        <x:v>UTILTS-transaction efter godkänd anvisningskontroll</x:v>
      </x:c>
      <x:c r="C18" s="19" t="str">
        <x:v>Mätarnummer kontrolleras mot ERHÅLLEN strukturinformation för perioden, när kontrollen är tillämplig.</x:v>
      </x:c>
      <x:c r="D18" s="19" t="str">
        <x:v>Fortsätt återstående tillämpliga kontroller.</x:v>
      </x:c>
      <x:c r="E18" s="19" t="str">
        <x:v>Markera transaktionen processability_rejected.</x:v>
      </x:c>
      <x:c r="F18" s="19" t="str">
        <x:v>UTILTS BGM ERR med avvisningsorsak E61; ingen senare positiv APERAK för samma transaktion.</x:v>
      </x:c>
      <x:c r="G18" s="19" t="str">
        <x:v>U bilaga2 s.131</x:v>
      </x:c>
    </x:row>
    <x:row r="19" ht="50.400001525878906" customHeight="1">
      <x:c r="A19" s="19" t="str">
        <x:v>CV-U-FN-527</x:v>
      </x:c>
      <x:c r="B19" s="19" t="str">
        <x:v>UTILTS-transaction efter godkänd anvisningskontroll</x:v>
      </x:c>
      <x:c r="C19" s="19" t="str">
        <x:v>Register-id och antal förväntade register stämmer med ERHÅLLEN strukturinformation.</x:v>
      </x:c>
      <x:c r="D19" s="19" t="str">
        <x:v>Fortsätt återstående tillämpliga kontroller.</x:v>
      </x:c>
      <x:c r="E19" s="19" t="str">
        <x:v>Markera transaktionen processability_rejected.</x:v>
      </x:c>
      <x:c r="F19" s="19" t="str">
        <x:v>UTILTS BGM ERR med avvisningsorsak E62; ingen senare positiv APERAK för samma transaktion.</x:v>
      </x:c>
      <x:c r="G19" s="19" t="str">
        <x:v>U bilaga2 s.131</x:v>
      </x:c>
    </x:row>
    <x:row r="20" ht="50.400001525878906" customHeight="1">
      <x:c r="A20" s="19" t="str">
        <x:v>CV-U-FN-DEC</x:v>
      </x:c>
      <x:c r="B20" s="19" t="str">
        <x:v>UTILTS-transaction efter godkänd anvisningskontroll</x:v>
      </x:c>
      <x:c r="C20" s="19" t="str">
        <x:v>Tillåtna decimaler per kvantitetstyp/upplösning stämmer.</x:v>
      </x:c>
      <x:c r="D20" s="19" t="str">
        <x:v>Fortsätt återstående tillämpliga kontroller.</x:v>
      </x:c>
      <x:c r="E20" s="19" t="str">
        <x:v>Markera transaktionen processability_rejected.</x:v>
      </x:c>
      <x:c r="F20" s="19" t="str">
        <x:v>UTILTS BGM ERR med avvisningsorsak E51; ingen senare positiv APERAK för samma transaktion.</x:v>
      </x:c>
      <x:c r="G20" s="19" t="str">
        <x:v>U bilaga2 s.131–132</x:v>
      </x:c>
    </x:row>
    <x:row r="21" ht="50.400001525878906" customHeight="1">
      <x:c r="A21" s="19" t="str">
        <x:v>CV-U-FN-COUNT</x:v>
      </x:c>
      <x:c r="B21" s="19" t="str">
        <x:v>UTILTS-transaction efter godkänd anvisningskontroll</x:v>
      </x:c>
      <x:c r="C21" s="19" t="str">
        <x:v>Antal observationer stämmer med den specificerade perioden/upplösningen och observationstypen.</x:v>
      </x:c>
      <x:c r="D21" s="19" t="str">
        <x:v>Fortsätt återstående tillämpliga kontroller.</x:v>
      </x:c>
      <x:c r="E21" s="19" t="str">
        <x:v>Markera transaktionen processability_rejected.</x:v>
      </x:c>
      <x:c r="F21" s="19" t="str">
        <x:v>UTILTS BGM ERR med avvisningsorsak E87; ingen senare positiv APERAK för samma transaktion.</x:v>
      </x:c>
      <x:c r="G21" s="19" t="str">
        <x:v>U bilaga2 s.132</x:v>
      </x:c>
    </x:row>
    <x:row r="22" ht="50.400001525878906" customHeight="1">
      <x:c r="A22" s="19" t="str">
        <x:v>CV-U-FN-ZERO</x:v>
      </x:c>
      <x:c r="B22" s="19" t="str">
        <x:v>UTILTS-transaction efter godkänd anvisningskontroll</x:v>
      </x:c>
      <x:c r="C22" s="19" t="str">
        <x:v>Nollvärdeskontroll endast i meddelanden/produkter där den gäller; från oktober inte generell individuell E66-kontroll.</x:v>
      </x:c>
      <x:c r="D22" s="19" t="str">
        <x:v>Fortsätt återstående tillämpliga kontroller.</x:v>
      </x:c>
      <x:c r="E22" s="19" t="str">
        <x:v>Markera transaktionen processability_rejected.</x:v>
      </x:c>
      <x:c r="F22" s="19" t="str">
        <x:v>UTILTS BGM ERR med avvisningsorsak E97; ingen senare positiv APERAK för samma transaktion.</x:v>
      </x:c>
      <x:c r="G22" s="19" t="str">
        <x:v>U bilaga2 s.132</x:v>
      </x:c>
    </x:row>
    <x:row r="23" ht="50.400001525878906" customHeight="1">
      <x:c r="A23" s="19" t="str">
        <x:v>CV-U-FN-SIGN</x:v>
      </x:c>
      <x:c r="B23" s="19" t="str">
        <x:v>UTILTS-transaction efter godkänd anvisningskontroll</x:v>
      </x:c>
      <x:c r="C23" s="19" t="str">
        <x:v>Teckenkontroll i E30 och aggregat enligt aktuell produkt; från oktober inte generell individuell E66-kontroll.</x:v>
      </x:c>
      <x:c r="D23" s="19" t="str">
        <x:v>Fortsätt återstående tillämpliga kontroller.</x:v>
      </x:c>
      <x:c r="E23" s="19" t="str">
        <x:v>Markera transaktionen processability_rejected.</x:v>
      </x:c>
      <x:c r="F23" s="19" t="str">
        <x:v>UTILTS BGM ERR med avvisningsorsak E98; ingen senare positiv APERAK för samma transaktion.</x:v>
      </x:c>
      <x:c r="G23" s="19" t="str">
        <x:v>U bilaga2 s.132</x:v>
      </x:c>
    </x:row>
    <x:row r="24" ht="50.400001525878906" customHeight="1">
      <x:c r="A24" s="19" t="str">
        <x:v>CV-U-FN-LIMIT</x:v>
      </x:c>
      <x:c r="B24" s="19" t="str">
        <x:v>UTILTS-transaction efter godkänd anvisningskontroll</x:v>
      </x:c>
      <x:c r="C24" s="19" t="str">
        <x:v>Tillåtna värdegränser i E30/aggregat enligt källan och struktur; inte egen pris-/kundmodell.</x:v>
      </x:c>
      <x:c r="D24" s="19" t="str">
        <x:v>Fortsätt återstående tillämpliga kontroller.</x:v>
      </x:c>
      <x:c r="E24" s="19" t="str">
        <x:v>Markera transaktionen processability_rejected.</x:v>
      </x:c>
      <x:c r="F24" s="19" t="str">
        <x:v>UTILTS BGM ERR med avvisningsorsak E90; ingen senare positiv APERAK för samma transaktion.</x:v>
      </x:c>
      <x:c r="G24" s="19" t="str">
        <x:v>U bilaga2 s.132</x:v>
      </x:c>
    </x:row>
  </x:sheetData>
  <x:mergeCells>
    <x:mergeCell ref="A1:G1"/>
    <x:mergeCell ref="A2:G2"/>
  </x:mergeCells>
  <x:pageMargins left="0.7" right="0.7" top="0.75" bottom="0.75" header="0.3" footer="0.3"/>
  <x:tableParts count="1">
    <x:tablePart xmlns:r="http://schemas.openxmlformats.org/officeDocument/2006/relationships" r:id="Rb4ff50ce7ef2485f"/>
  </x:tableParts>
</x:worksheet>
</file>

<file path=xl/worksheets/sheet11.xml><?xml version="1.0" encoding="utf-8"?>
<x:worksheet xmlns:x="http://schemas.openxmlformats.org/spreadsheetml/2006/main">
  <x:sheetFormatPr defaultRowHeight="15"/>
  <x:cols>
    <x:col min="1" max="1" width="24" hidden="0" customWidth="1"/>
    <x:col min="2" max="2" width="42" hidden="0" customWidth="1"/>
    <x:col min="3" max="3" width="36" hidden="0" customWidth="1"/>
    <x:col min="4" max="4" width="37" hidden="0" customWidth="1"/>
    <x:col min="5" max="5" width="20" hidden="0" customWidth="1"/>
    <x:col min="6" max="6" width="57" hidden="0" customWidth="1"/>
    <x:col min="7" max="7" width="58" hidden="0" customWidth="1"/>
    <x:col min="8" max="8" width="28" hidden="0" customWidth="1"/>
    <x:col min="9" max="9" width="38" hidden="0" customWidth="1"/>
  </x:cols>
  <x:sheetData>
    <x:row r="1" ht="30" customHeight="1">
      <x:c r="A1" s="3" t="str">
        <x:v>Tidsfrister · Gridex Ediel v2</x:v>
      </x:c>
      <x:c r="B1" s="3"/>
      <x:c r="C1" s="3"/>
      <x:c r="D1" s="3"/>
      <x:c r="E1" s="3"/>
      <x:c r="F1" s="3"/>
      <x:c r="G1" s="3"/>
      <x:c r="H1" s="3"/>
      <x:c r="I1" s="3"/>
    </x:row>
    <x:row r="2" ht="34" customHeight="1">
      <x:c r="A2" s="8" t="str">
        <x:v>31 tidsregler. Mottagarens normativa frist är skild från avsändarens bevakning; ingen generell timeout → omsändning.</x:v>
      </x:c>
      <x:c r="B2" s="8"/>
      <x:c r="C2" s="8"/>
      <x:c r="D2" s="8"/>
      <x:c r="E2" s="8"/>
      <x:c r="F2" s="8"/>
      <x:c r="G2" s="8"/>
      <x:c r="H2" s="8"/>
      <x:c r="I2" s="8"/>
    </x:row>
    <x:row r="4" ht="37" customHeight="1">
      <x:c r="A4" s="14" t="str">
        <x:v>Timer-id</x:v>
      </x:c>
      <x:c r="B4" s="14" t="str">
        <x:v>Händelse</x:v>
      </x:c>
      <x:c r="C4" s="14" t="str">
        <x:v>Startpunkt</x:v>
      </x:c>
      <x:c r="D4" s="14" t="str">
        <x:v>Frist</x:v>
      </x:c>
      <x:c r="E4" s="14" t="str">
        <x:v>Kalender</x:v>
      </x:c>
      <x:c r="F4" s="14" t="str">
        <x:v>Förväntad handling</x:v>
      </x:c>
      <x:c r="G4" s="14" t="str">
        <x:v>När tiden gått ut</x:v>
      </x:c>
      <x:c r="H4" s="14" t="str">
        <x:v>Kravtyp</x:v>
      </x:c>
      <x:c r="I4" s="14" t="str">
        <x:v>Källa</x:v>
      </x:c>
    </x:row>
    <x:row r="5" ht="36.599998474121094" customHeight="1">
      <x:c r="A5" s="19" t="str">
        <x:v>TM-ACK</x:v>
      </x:c>
      <x:c r="B5" s="19" t="str">
        <x:v>Mottagen kvittenspliktig EDIFACT</x:v>
      </x:c>
      <x:c r="C5" s="19" t="str">
        <x:v>mottagaren_tillhanda</x:v>
      </x:c>
      <x:c r="D5" s="19" t="str">
        <x:v>30 minuter</x:v>
      </x:c>
      <x:c r="E5" s="19" t="str">
        <x:v>elapsed</x:v>
      </x:c>
      <x:c r="F5" s="19" t="str">
        <x:v>Skicka föreskriven CONTRL/APERAK inom fristen.</x:v>
      </x:c>
      <x:c r="G5" s="19" t="str">
        <x:v>Larma intern fördröjning; ingen ny affärsavsikt för att tid gått.</x:v>
      </x:c>
      <x:c r="H5" s="19" t="str">
        <x:v>Normativ processregel</x:v>
      </x:c>
      <x:c r="I5" s="19" t="str">
        <x:v>T §2 s.11–12</x:v>
      </x:c>
    </x:row>
    <x:row r="6" ht="32" customHeight="1">
      <x:c r="A6" s="19" t="str">
        <x:v>TM-CONTRL-TARGET</x:v>
      </x:c>
      <x:c r="B6" s="19" t="str">
        <x:v>Fil framme vid EDI-konverterare</x:v>
      </x:c>
      <x:c r="C6" s="19" t="str">
        <x:v>edi_converter_received_at</x:v>
      </x:c>
      <x:c r="D6" s="19" t="str">
        <x:v>normalt 3 minuter</x:v>
      </x:c>
      <x:c r="E6" s="19" t="str">
        <x:v>elapsed</x:v>
      </x:c>
      <x:c r="F6" s="19" t="str">
        <x:v>Omgående CONTRL efter faktisk syntaxkontroll.</x:v>
      </x:c>
      <x:c r="G6" s="19" t="str">
        <x:v>Operativ incident om utebliven kontroll/sändning.</x:v>
      </x:c>
      <x:c r="H6" s="19" t="str">
        <x:v>Normativ normalnivå</x:v>
      </x:c>
      <x:c r="I6" s="19" t="str">
        <x:v>T §2.1 s.12</x:v>
      </x:c>
    </x:row>
    <x:row r="7" ht="36.599998474121094" customHeight="1">
      <x:c r="A7" s="19" t="str">
        <x:v>TM-REMOTE-WATCH</x:v>
      </x:c>
      <x:c r="B7" s="19" t="str">
        <x:v>Eget meddelande SMTP-accepterat</x:v>
      </x:c>
      <x:c r="C7" s="19" t="str">
        <x:v>actual_submission_at</x:v>
      </x:c>
      <x:c r="D7" s="19" t="str">
        <x:v>30 minuter, med synlig kommunikationsosäkerhet</x:v>
      </x:c>
      <x:c r="E7" s="19" t="str">
        <x:v>elapsed</x:v>
      </x:c>
      <x:c r="F7" s="19" t="str">
        <x:v>Bevaka saknade tekniska/applikationssvar separat.</x:v>
      </x:c>
      <x:c r="G7" s="19" t="str">
        <x:v>Kontakta/spåra; ingen blind PRODAT-omsändning.</x:v>
      </x:c>
      <x:c r="H7" s="19" t="str">
        <x:v>Intern bevakning av normativ tidsfrist</x:v>
      </x:c>
      <x:c r="I7" s="19" t="str">
        <x:v>T §2; HB kap.10</x:v>
      </x:c>
    </x:row>
    <x:row r="8" ht="32" customHeight="1">
      <x:c r="A8" s="19" t="str">
        <x:v>TM-Z02</x:v>
      </x:c>
      <x:c r="B8" s="19" t="str">
        <x:v>Mottagen Z01</x:v>
      </x:c>
      <x:c r="C8" s="19" t="str">
        <x:v>z01_recipient_received_at</x:v>
      </x:c>
      <x:c r="D8" s="19" t="str">
        <x:v>+30 minuter</x:v>
      </x:c>
      <x:c r="E8" s="19" t="str">
        <x:v>elapsed</x:v>
      </x:c>
      <x:c r="F8" s="19" t="str">
        <x:v>Z02 eller relevant felhantering.</x:v>
      </x:c>
      <x:c r="G8" s="19" t="str">
        <x:v>Utred uteblivet svar; börja inte först efter CONTRL.</x:v>
      </x:c>
      <x:c r="H8" s="19" t="str">
        <x:v>Normativ processregel</x:v>
      </x:c>
      <x:c r="I8" s="19" t="str">
        <x:v>HB26A s.197–199</x:v>
      </x:c>
    </x:row>
    <x:row r="9" ht="36.599998474121094" customHeight="1">
      <x:c r="A9" s="19" t="str">
        <x:v>TM-Z03L-LAST</x:v>
      </x:c>
      <x:c r="B9" s="19" t="str">
        <x:v>Planerat leverantörsbyte</x:v>
      </x:c>
      <x:c r="C9" s="19" t="str">
        <x:v>supply_start</x:v>
      </x:c>
      <x:c r="D9" s="19" t="str">
        <x:v>-14 dagar</x:v>
      </x:c>
      <x:c r="E9" s="19" t="str">
        <x:v>calendar_days</x:v>
      </x:c>
      <x:c r="F9" s="19" t="str">
        <x:v>Z03L skickad senast.</x:v>
      </x:c>
      <x:c r="G9" s="19" t="str">
        <x:v>Blockera egen för sen anmälan/omplanera med behörig kundprocess.</x:v>
      </x:c>
      <x:c r="H9" s="19" t="str">
        <x:v>Normativ processregel</x:v>
      </x:c>
      <x:c r="I9" s="19" t="str">
        <x:v>HB26A s.197–199</x:v>
      </x:c>
    </x:row>
    <x:row r="10" ht="32" customHeight="1">
      <x:c r="A10" s="19" t="str">
        <x:v>TM-Z03-EARLIEST</x:v>
      </x:c>
      <x:c r="B10" s="19" t="str">
        <x:v>Planerad start L/LK</x:v>
      </x:c>
      <x:c r="C10" s="19" t="str">
        <x:v>supply_start</x:v>
      </x:c>
      <x:c r="D10" s="19" t="str">
        <x:v>-14 kalendermånader</x:v>
      </x:c>
      <x:c r="E10" s="19" t="str">
        <x:v>calendar_months</x:v>
      </x:c>
      <x:c r="F10" s="19" t="str">
        <x:v>Skicka inte tidigare.</x:v>
      </x:c>
      <x:c r="G10" s="19" t="str">
        <x:v>Håll avsikten planerad tills fönstret öppnas.</x:v>
      </x:c>
      <x:c r="H10" s="19" t="str">
        <x:v>Normativ processregel</x:v>
      </x:c>
      <x:c r="I10" s="19" t="str">
        <x:v>HB26A s.197–199</x:v>
      </x:c>
    </x:row>
    <x:row r="11" ht="36.599998474121094" customHeight="1">
      <x:c r="A11" s="19" t="str">
        <x:v>TM-Z03LK-LAST</x:v>
      </x:c>
      <x:c r="B11" s="19" t="str">
        <x:v>Inflyttning</x:v>
      </x:c>
      <x:c r="C11" s="19" t="str">
        <x:v>move_in_day</x:v>
      </x:c>
      <x:c r="D11" s="19" t="str">
        <x:v>senast samma kalenderdag</x:v>
      </x:c>
      <x:c r="E11" s="19" t="str">
        <x:v>calendar_days</x:v>
      </x:c>
      <x:c r="F11" s="19" t="str">
        <x:v>Z03LK skickad.</x:v>
      </x:c>
      <x:c r="G11" s="19" t="str">
        <x:v>Utred inflyttningsrutin; gör inte bakdaterad sändning på chans.</x:v>
      </x:c>
      <x:c r="H11" s="19" t="str">
        <x:v>Normativ processregel</x:v>
      </x:c>
      <x:c r="I11" s="19" t="str">
        <x:v>HB26A s.197–199</x:v>
      </x:c>
    </x:row>
    <x:row r="12" ht="32" customHeight="1">
      <x:c r="A12" s="19" t="str">
        <x:v>TM-Z03C-L</x:v>
      </x:c>
      <x:c r="B12" s="19" t="str">
        <x:v>Återtag L</x:v>
      </x:c>
      <x:c r="C12" s="19" t="str">
        <x:v>supply_start</x:v>
      </x:c>
      <x:c r="D12" s="19" t="str">
        <x:v>-4 dagar</x:v>
      </x:c>
      <x:c r="E12" s="19" t="str">
        <x:v>calendar_days</x:v>
      </x:c>
      <x:c r="F12" s="19" t="str">
        <x:v>Kancellering skickad senast.</x:v>
      </x:c>
      <x:c r="G12" s="19" t="str">
        <x:v>Manuell behörig process; inte tyst retroaktiv radering.</x:v>
      </x:c>
      <x:c r="H12" s="19" t="str">
        <x:v>Normativ processregel</x:v>
      </x:c>
      <x:c r="I12" s="19" t="str">
        <x:v>HB26A s.197–199</x:v>
      </x:c>
    </x:row>
    <x:row r="13" ht="32" customHeight="1">
      <x:c r="A13" s="19" t="str">
        <x:v>TM-Z03C-LK</x:v>
      </x:c>
      <x:c r="B13" s="19" t="str">
        <x:v>Återtag LK</x:v>
      </x:c>
      <x:c r="C13" s="19" t="str">
        <x:v>move_in_day</x:v>
      </x:c>
      <x:c r="D13" s="19" t="str">
        <x:v>senast inflyttningsdagen</x:v>
      </x:c>
      <x:c r="E13" s="19" t="str">
        <x:v>calendar_days</x:v>
      </x:c>
      <x:c r="F13" s="19" t="str">
        <x:v>Kancellering inom fönstret.</x:v>
      </x:c>
      <x:c r="G13" s="19" t="str">
        <x:v>Utred alternativ rättelse enligt förloppet.</x:v>
      </x:c>
      <x:c r="H13" s="19" t="str">
        <x:v>Normativ processregel</x:v>
      </x:c>
      <x:c r="I13" s="19" t="str">
        <x:v>HB26A s.197–199</x:v>
      </x:c>
    </x:row>
    <x:row r="14" ht="36.599998474121094" customHeight="1">
      <x:c r="A14" s="19" t="str">
        <x:v>TM-Z04-L</x:v>
      </x:c>
      <x:c r="B14" s="19" t="str">
        <x:v>Z03L/LK mottagen</x:v>
      </x:c>
      <x:c r="C14" s="19" t="str">
        <x:v>z03_received_at</x:v>
      </x:c>
      <x:c r="D14" s="19" t="str">
        <x:v>+3 dagar; LK snarast efter godkänd bevakning</x:v>
      </x:c>
      <x:c r="E14" s="19" t="str">
        <x:v>calendar_days</x:v>
      </x:c>
      <x:c r="F14" s="19" t="str">
        <x:v>Rätt Z04.</x:v>
      </x:c>
      <x:c r="G14" s="19" t="str">
        <x:v>Utred; sent svar kan fortfarande behöva korrekt behandling.</x:v>
      </x:c>
      <x:c r="H14" s="19" t="str">
        <x:v>Normativ processregel</x:v>
      </x:c>
      <x:c r="I14" s="19" t="str">
        <x:v>HB26A s.197–199</x:v>
      </x:c>
    </x:row>
    <x:row r="15" ht="36.599998474121094" customHeight="1">
      <x:c r="A15" s="19" t="str">
        <x:v>TM-Z04-A</x:v>
      </x:c>
      <x:c r="B15" s="19" t="str">
        <x:v>Inflyttning med anvisning</x:v>
      </x:c>
      <x:c r="C15" s="19" t="str">
        <x:v>move_in_day</x:v>
      </x:c>
      <x:c r="D15" s="19" t="str">
        <x:v>från dagen efter till senast tredje dagen efter</x:v>
      </x:c>
      <x:c r="E15" s="19" t="str">
        <x:v>calendar_days</x:v>
      </x:c>
      <x:c r="F15" s="19" t="str">
        <x:v>Z04A från behörig DSO.</x:v>
      </x:c>
      <x:c r="G15" s="19" t="str">
        <x:v>Bevaka egen väntan när anvisningsrelation finns.</x:v>
      </x:c>
      <x:c r="H15" s="19" t="str">
        <x:v>Normativ processregel</x:v>
      </x:c>
      <x:c r="I15" s="19" t="str">
        <x:v>HB26A s.197–199</x:v>
      </x:c>
    </x:row>
    <x:row r="16" ht="32" customHeight="1">
      <x:c r="A16" s="19" t="str">
        <x:v>TM-Z04-D</x:v>
      </x:c>
      <x:c r="B16" s="19" t="str">
        <x:v>Mottagningsplikt träder in</x:v>
      </x:c>
      <x:c r="C16" s="19" t="str">
        <x:v>obligation_effective_day</x:v>
      </x:c>
      <x:c r="D16" s="19" t="str">
        <x:v>tidigast -3, senast +3 dagar</x:v>
      </x:c>
      <x:c r="E16" s="19" t="str">
        <x:v>calendar_days</x:v>
      </x:c>
      <x:c r="F16" s="19" t="str">
        <x:v>Z04D.</x:v>
      </x:c>
      <x:c r="G16" s="19" t="str">
        <x:v>Utred produktionsrelation, inte vanlig Z03-timeout.</x:v>
      </x:c>
      <x:c r="H16" s="19" t="str">
        <x:v>Normativ processregel</x:v>
      </x:c>
      <x:c r="I16" s="19" t="str">
        <x:v>HB26A s.197–199</x:v>
      </x:c>
    </x:row>
    <x:row r="17" ht="36.599998474121094" customHeight="1">
      <x:c r="A17" s="19" t="str">
        <x:v>TM-Z04-C</x:v>
      </x:c>
      <x:c r="B17" s="19" t="str">
        <x:v>Z03C mottagen/rättad flytt</x:v>
      </x:c>
      <x:c r="C17" s="19" t="str">
        <x:v>z03c_received_at</x:v>
      </x:c>
      <x:c r="D17" s="19" t="str">
        <x:v>+3 dagar eller snarast enligt rättad flytt</x:v>
      </x:c>
      <x:c r="E17" s="19" t="str">
        <x:v>calendar_days</x:v>
      </x:c>
      <x:c r="F17" s="19" t="str">
        <x:v>Z04C enligt orsaken.</x:v>
      </x:c>
      <x:c r="G17" s="19" t="str">
        <x:v>Kancellering förblir inte automatiskt färdig.</x:v>
      </x:c>
      <x:c r="H17" s="19" t="str">
        <x:v>Normativ processregel</x:v>
      </x:c>
      <x:c r="I17" s="19" t="str">
        <x:v>HB26A s.197–199</x:v>
      </x:c>
    </x:row>
    <x:row r="18" ht="36.599998474121094" customHeight="1">
      <x:c r="A18" s="19" t="str">
        <x:v>TM-Z05-L</x:v>
      </x:c>
      <x:c r="B18" s="19" t="str">
        <x:v>Z03L eller Z08H mottagen</x:v>
      </x:c>
      <x:c r="C18" s="19" t="str">
        <x:v>relevant_request_received_at</x:v>
      </x:c>
      <x:c r="D18" s="19" t="str">
        <x:v>+3 dagar; anvisning samtidigt med Z04A</x:v>
      </x:c>
      <x:c r="E18" s="19" t="str">
        <x:v>calendar_days</x:v>
      </x:c>
      <x:c r="F18" s="19" t="str">
        <x:v>Z05L till frånträdande leverantör.</x:v>
      </x:c>
      <x:c r="G18" s="19" t="str">
        <x:v>Bevaka avslut och slutvärden utan osäker aktivering.</x:v>
      </x:c>
      <x:c r="H18" s="19" t="str">
        <x:v>Normativ processregel</x:v>
      </x:c>
      <x:c r="I18" s="19" t="str">
        <x:v>HB26A s.197–199</x:v>
      </x:c>
    </x:row>
    <x:row r="19" ht="36.599998474121094" customHeight="1">
      <x:c r="A19" s="19" t="str">
        <x:v>TM-Z05-LK</x:v>
      </x:c>
      <x:c r="B19" s="19" t="str">
        <x:v>Uppgift om utflytt/kundbyte</x:v>
      </x:c>
      <x:c r="C19" s="19" t="str">
        <x:v>information_known_at</x:v>
      </x:c>
      <x:c r="D19" s="19" t="str">
        <x:v>snarast</x:v>
      </x:c>
      <x:c r="E19" s="19" t="str">
        <x:v>event_driven</x:v>
      </x:c>
      <x:c r="F19" s="19" t="str">
        <x:v>Z05LK</x:v>
      </x:c>
      <x:c r="G19" s="19" t="str">
        <x:v>Skapa ansvarig operativ uppgift; mappa inte snarast till en påhittad Ediel-minutgräns.</x:v>
      </x:c>
      <x:c r="H19" s="19" t="str">
        <x:v>Normativ processregel</x:v>
      </x:c>
      <x:c r="I19" s="19" t="str">
        <x:v>HB26A s.197–199</x:v>
      </x:c>
    </x:row>
    <x:row r="20" ht="36.599998474121094" customHeight="1">
      <x:c r="A20" s="19" t="str">
        <x:v>TM-Z05-C</x:v>
      </x:c>
      <x:c r="B20" s="19" t="str">
        <x:v>Kancellering av avslut</x:v>
      </x:c>
      <x:c r="C20" s="19" t="str">
        <x:v>information_known_at</x:v>
      </x:c>
      <x:c r="D20" s="19" t="str">
        <x:v>snarast</x:v>
      </x:c>
      <x:c r="E20" s="19" t="str">
        <x:v>event_driven</x:v>
      </x:c>
      <x:c r="F20" s="19" t="str">
        <x:v>Z05C; bör före tidigare aviserat slut</x:v>
      </x:c>
      <x:c r="G20" s="19" t="str">
        <x:v>Skapa ansvarig operativ uppgift; mappa inte snarast till en påhittad Ediel-minutgräns.</x:v>
      </x:c>
      <x:c r="H20" s="19" t="str">
        <x:v>Normativ processregel</x:v>
      </x:c>
      <x:c r="I20" s="19" t="str">
        <x:v>HB26A s.197–199</x:v>
      </x:c>
    </x:row>
    <x:row r="21" ht="36.599998474121094" customHeight="1">
      <x:c r="A21" s="19" t="str">
        <x:v>TM-Z06-E</x:v>
      </x:c>
      <x:c r="B21" s="19" t="str">
        <x:v>Ändring av kunduppgifter</x:v>
      </x:c>
      <x:c r="C21" s="19" t="str">
        <x:v>information_known_at</x:v>
      </x:c>
      <x:c r="D21" s="19" t="str">
        <x:v>snarast</x:v>
      </x:c>
      <x:c r="E21" s="19" t="str">
        <x:v>event_driven</x:v>
      </x:c>
      <x:c r="F21" s="19" t="str">
        <x:v>Z06E</x:v>
      </x:c>
      <x:c r="G21" s="19" t="str">
        <x:v>Skapa ansvarig operativ uppgift; mappa inte snarast till en påhittad Ediel-minutgräns.</x:v>
      </x:c>
      <x:c r="H21" s="19" t="str">
        <x:v>Normativ processregel</x:v>
      </x:c>
      <x:c r="I21" s="19" t="str">
        <x:v>HB26A s.197–199</x:v>
      </x:c>
    </x:row>
    <x:row r="22" ht="36.599998474121094" customHeight="1">
      <x:c r="A22" s="19" t="str">
        <x:v>TM-Z09-E</x:v>
      </x:c>
      <x:c r="B22" s="19" t="str">
        <x:v>Leverantören känner till kundlivshändelse</x:v>
      </x:c>
      <x:c r="C22" s="19" t="str">
        <x:v>information_known_at</x:v>
      </x:c>
      <x:c r="D22" s="19" t="str">
        <x:v>snarast</x:v>
      </x:c>
      <x:c r="E22" s="19" t="str">
        <x:v>event_driven</x:v>
      </x:c>
      <x:c r="F22" s="19" t="str">
        <x:v>Z09E</x:v>
      </x:c>
      <x:c r="G22" s="19" t="str">
        <x:v>Skapa ansvarig operativ uppgift; mappa inte snarast till en påhittad Ediel-minutgräns.</x:v>
      </x:c>
      <x:c r="H22" s="19" t="str">
        <x:v>Normativ processregel</x:v>
      </x:c>
      <x:c r="I22" s="19" t="str">
        <x:v>HB26A s.197–199</x:v>
      </x:c>
    </x:row>
    <x:row r="23" ht="36.599998474121094" customHeight="1">
      <x:c r="A23" s="19" t="str">
        <x:v>TM-Z15</x:v>
      </x:c>
      <x:c r="B23" s="19" t="str">
        <x:v>Tillstånds-/rapporteringstjänst upphör</x:v>
      </x:c>
      <x:c r="C23" s="19" t="str">
        <x:v>reporting_or_service_end_known_at</x:v>
      </x:c>
      <x:c r="D23" s="19" t="str">
        <x:v>snarast</x:v>
      </x:c>
      <x:c r="E23" s="19" t="str">
        <x:v>event_driven</x:v>
      </x:c>
      <x:c r="F23" s="19" t="str">
        <x:v>Z15 V/VH/C enligt händelsen</x:v>
      </x:c>
      <x:c r="G23" s="19" t="str">
        <x:v>Skapa ansvarig operativ uppgift; mappa inte snarast till en påhittad Ediel-minutgräns.</x:v>
      </x:c>
      <x:c r="H23" s="19" t="str">
        <x:v>Normativ processregel</x:v>
      </x:c>
      <x:c r="I23" s="19" t="str">
        <x:v>HB26A s.197–199</x:v>
      </x:c>
    </x:row>
    <x:row r="24" ht="36.599998474121094" customHeight="1">
      <x:c r="A24" s="19" t="str">
        <x:v>TM-Z18</x:v>
      </x:c>
      <x:c r="B24" s="19" t="str">
        <x:v>Avtal om energitjänst upphör</x:v>
      </x:c>
      <x:c r="C24" s="19" t="str">
        <x:v>service_contract_end_known_at</x:v>
      </x:c>
      <x:c r="D24" s="19" t="str">
        <x:v>snarast</x:v>
      </x:c>
      <x:c r="E24" s="19" t="str">
        <x:v>event_driven</x:v>
      </x:c>
      <x:c r="F24" s="19" t="str">
        <x:v>Z18V när berört marknadstillstånd ska avslutas</x:v>
      </x:c>
      <x:c r="G24" s="19" t="str">
        <x:v>Skapa ansvarig operativ uppgift; mappa inte snarast till en påhittad Ediel-minutgräns.</x:v>
      </x:c>
      <x:c r="H24" s="19" t="str">
        <x:v>Normativ processregel</x:v>
      </x:c>
      <x:c r="I24" s="19" t="str">
        <x:v>HB26A s.197–199</x:v>
      </x:c>
    </x:row>
    <x:row r="25" ht="32" customHeight="1">
      <x:c r="A25" s="19" t="str">
        <x:v>TM-Z06-FG</x:v>
      </x:c>
      <x:c r="B25" s="19" t="str">
        <x:v>Strukturändring</x:v>
      </x:c>
      <x:c r="C25" s="19" t="str">
        <x:v>change_effective_at</x:v>
      </x:c>
      <x:c r="D25" s="19" t="str">
        <x:v>inom10dagar</x:v>
      </x:c>
      <x:c r="E25" s="19" t="str">
        <x:v>calendar_days</x:v>
      </x:c>
      <x:c r="F25" s="19" t="str">
        <x:v>Z06F/G; särskilda underrättelser kan ha kortare frist.</x:v>
      </x:c>
      <x:c r="G25" s="19" t="str">
        <x:v>Bevaka rätt historik/efterföljande mätvärden.</x:v>
      </x:c>
      <x:c r="H25" s="19" t="str">
        <x:v>Normativ processregel</x:v>
      </x:c>
      <x:c r="I25" s="19" t="str">
        <x:v>HB26A s.197–199</x:v>
      </x:c>
    </x:row>
    <x:row r="26" ht="36.599998474121094" customHeight="1">
      <x:c r="A26" s="19" t="str">
        <x:v>TM-Z06-SWITCH</x:v>
      </x:c>
      <x:c r="B26" s="19" t="str">
        <x:v>Från-/tillkoppling</x:v>
      </x:c>
      <x:c r="C26" s="19" t="str">
        <x:v>registration_day</x:v>
      </x:c>
      <x:c r="D26" s="19" t="str">
        <x:v>samma dag</x:v>
      </x:c>
      <x:c r="E26" s="19" t="str">
        <x:v>calendar_days</x:v>
      </x:c>
      <x:c r="F26" s="19" t="str">
        <x:v>Z06F enligt händelsen.</x:v>
      </x:c>
      <x:c r="G26" s="19" t="str">
        <x:v>Operativ incident, ingen retroaktiv ändring av sändningstid.</x:v>
      </x:c>
      <x:c r="H26" s="19" t="str">
        <x:v>Normativ processregel</x:v>
      </x:c>
      <x:c r="I26" s="19" t="str">
        <x:v>HB26A s.197–199</x:v>
      </x:c>
    </x:row>
    <x:row r="27" ht="32" customHeight="1">
      <x:c r="A27" s="19" t="str">
        <x:v>TM-METHOD40</x:v>
      </x:c>
      <x:c r="B27" s="19" t="str">
        <x:v>Avtalad ändring mätmetod Z09F/G</x:v>
      </x:c>
      <x:c r="C27" s="19" t="str">
        <x:v>z09_validity_day</x:v>
      </x:c>
      <x:c r="D27" s="19" t="str">
        <x:v>inom40kalenderdagar</x:v>
      </x:c>
      <x:c r="E27" s="19" t="str">
        <x:v>calendar_days</x:v>
      </x:c>
      <x:c r="F27" s="19" t="str">
        <x:v>Z06 med tillämplig ändring.</x:v>
      </x:c>
      <x:c r="G27" s="19" t="str">
        <x:v>Bevaka genomförandet.</x:v>
      </x:c>
      <x:c r="H27" s="19" t="str">
        <x:v>Normativ processregel</x:v>
      </x:c>
      <x:c r="I27" s="19" t="str">
        <x:v>HB26A s.197–199</x:v>
      </x:c>
    </x:row>
    <x:row r="28" ht="32" customHeight="1">
      <x:c r="A28" s="19" t="str">
        <x:v>TM-Z08-H</x:v>
      </x:c>
      <x:c r="B28" s="19" t="str">
        <x:v>Hävning</x:v>
      </x:c>
      <x:c r="C28" s="19" t="str">
        <x:v>termination_day</x:v>
      </x:c>
      <x:c r="D28" s="19" t="str">
        <x:v>senast samma dag</x:v>
      </x:c>
      <x:c r="E28" s="19" t="str">
        <x:v>calendar_days</x:v>
      </x:c>
      <x:c r="F28" s="19" t="str">
        <x:v>Z08H med giltig grund.</x:v>
      </x:c>
      <x:c r="G28" s="19" t="str">
        <x:v>Utred med ansvarig; finansflagga får inte ensamt styra.</x:v>
      </x:c>
      <x:c r="H28" s="19" t="str">
        <x:v>Normativ processregel</x:v>
      </x:c>
      <x:c r="I28" s="19" t="str">
        <x:v>HB26A s.197–199</x:v>
      </x:c>
    </x:row>
    <x:row r="29" ht="36.599998474121094" customHeight="1">
      <x:c r="A29" s="19" t="str">
        <x:v>TM-Z09-B</x:v>
      </x:c>
      <x:c r="B29" s="19" t="str">
        <x:v>Byte BRP</x:v>
      </x:c>
      <x:c r="C29" s="19" t="str">
        <x:v>brp_change_day</x:v>
      </x:c>
      <x:c r="D29" s="19" t="str">
        <x:v>senast -1 kalendermånad</x:v>
      </x:c>
      <x:c r="E29" s="19" t="str">
        <x:v>calendar_months</x:v>
      </x:c>
      <x:c r="F29" s="19" t="str">
        <x:v>Z09B.</x:v>
      </x:c>
      <x:c r="G29" s="19" t="str">
        <x:v>Blockera för sen rutinändring utan behörig rättelseprocess.</x:v>
      </x:c>
      <x:c r="H29" s="19" t="str">
        <x:v>Normativ processregel</x:v>
      </x:c>
      <x:c r="I29" s="19" t="str">
        <x:v>HB26A s.197–199</x:v>
      </x:c>
    </x:row>
    <x:row r="30" ht="32" customHeight="1">
      <x:c r="A30" s="19" t="str">
        <x:v>TM-Z09-D</x:v>
      </x:c>
      <x:c r="B30" s="19" t="str">
        <x:v>Produktionsavtal start/slut</x:v>
      </x:c>
      <x:c r="C30" s="19" t="str">
        <x:v>production_contract_day</x:v>
      </x:c>
      <x:c r="D30" s="19" t="str">
        <x:v>senast samma dag</x:v>
      </x:c>
      <x:c r="E30" s="19" t="str">
        <x:v>calendar_days</x:v>
      </x:c>
      <x:c r="F30" s="19" t="str">
        <x:v>Z09D med210 eller211.</x:v>
      </x:c>
      <x:c r="G30" s="19" t="str">
        <x:v>Bevaka produktionsrelation.</x:v>
      </x:c>
      <x:c r="H30" s="19" t="str">
        <x:v>Normativ processregel</x:v>
      </x:c>
      <x:c r="I30" s="19" t="str">
        <x:v>HB26A s.197–199</x:v>
      </x:c>
    </x:row>
    <x:row r="31" ht="36.599998474121094" customHeight="1">
      <x:c r="A31" s="19" t="str">
        <x:v>TM-Z09-FG</x:v>
      </x:c>
      <x:c r="B31" s="19" t="str">
        <x:v>Kvartsavtal ändras</x:v>
      </x:c>
      <x:c r="C31" s="19" t="str">
        <x:v>contract_start_or_end</x:v>
      </x:c>
      <x:c r="D31" s="19" t="str">
        <x:v>i anslutning till/senast enligt avtalshändelsen</x:v>
      </x:c>
      <x:c r="E31" s="19" t="str">
        <x:v>event_driven</x:v>
      </x:c>
      <x:c r="F31" s="19" t="str">
        <x:v>Z09F/G.</x:v>
      </x:c>
      <x:c r="G31" s="19" t="str">
        <x:v>Bevaka källans händelsevillkor; inte generell30min-affärstimer.</x:v>
      </x:c>
      <x:c r="H31" s="19" t="str">
        <x:v>Normativ processregel</x:v>
      </x:c>
      <x:c r="I31" s="19" t="str">
        <x:v>HB26A s.197–199</x:v>
      </x:c>
    </x:row>
    <x:row r="32" ht="36.599998474121094" customHeight="1">
      <x:c r="A32" s="19" t="str">
        <x:v>TM-Z10</x:v>
      </x:c>
      <x:c r="B32" s="19" t="str">
        <x:v>Mätarbyte</x:v>
      </x:c>
      <x:c r="C32" s="19" t="str">
        <x:v>meter_change_day</x:v>
      </x:c>
      <x:c r="D32" s="19" t="str">
        <x:v>inom10vardagar</x:v>
      </x:c>
      <x:c r="E32" s="19" t="str">
        <x:v>swedish_business_days</x:v>
      </x:c>
      <x:c r="F32" s="19" t="str">
        <x:v>Z10M.</x:v>
      </x:c>
      <x:c r="G32" s="19" t="str">
        <x:v>Bevaka mätarbytes-/mätvärdeskedjan.</x:v>
      </x:c>
      <x:c r="H32" s="19" t="str">
        <x:v>Normativ processregel</x:v>
      </x:c>
      <x:c r="I32" s="19" t="str">
        <x:v>HB26A s.197–199</x:v>
      </x:c>
    </x:row>
    <x:row r="33" ht="36.599998474121094" customHeight="1">
      <x:c r="A33" s="19" t="str">
        <x:v>TM-ESCO21</x:v>
      </x:c>
      <x:c r="B33" s="19" t="str">
        <x:v>Tillståndsbegäran hos nätägaren</x:v>
      </x:c>
      <x:c r="C33" s="19" t="str">
        <x:v>request_received_at</x:v>
      </x:c>
      <x:c r="D33" s="19" t="str">
        <x:v>inom21kalenderdagar</x:v>
      </x:c>
      <x:c r="E33" s="19" t="str">
        <x:v>calendar_days</x:v>
      </x:c>
      <x:c r="F33" s="19" t="str">
        <x:v>Z14 V/VH eller Z14N enligt faktisk godkännande/nekandeprocess.</x:v>
      </x:c>
      <x:c r="G33" s="19" t="str">
        <x:v>Saknat svar blir uppföljning, inte lokalt fabricerat Z14N/nytt tillstånd.</x:v>
      </x:c>
      <x:c r="H33" s="19" t="str">
        <x:v>Normativ processregel</x:v>
      </x:c>
      <x:c r="I33" s="19" t="str">
        <x:v>HB kap.11 s.204–211</x:v>
      </x:c>
    </x:row>
    <x:row r="34" ht="36.599998474121094" customHeight="1">
      <x:c r="A34" s="19" t="str">
        <x:v>TM-ESCO-HISTORY</x:v>
      </x:c>
      <x:c r="B34" s="19" t="str">
        <x:v>Begäran av historik</x:v>
      </x:c>
      <x:c r="C34" s="19" t="str">
        <x:v>request_day</x:v>
      </x:c>
      <x:c r="D34" s="19" t="str">
        <x:v>start tidigast3år tillbaka; senast igår; slut inom tillåten historik</x:v>
      </x:c>
      <x:c r="E34" s="19" t="str">
        <x:v>calendar_years_days</x:v>
      </x:c>
      <x:c r="F34" s="19" t="str">
        <x:v>Z13VH avgränsad period, kortas av relevant nätavtal.</x:v>
      </x:c>
      <x:c r="G34" s="19" t="str">
        <x:v>Blockera fel begärd period; historik är inte ett pågående V-tillstånd.</x:v>
      </x:c>
      <x:c r="H34" s="19" t="str">
        <x:v>Normativ processregel</x:v>
      </x:c>
      <x:c r="I34" s="19" t="str">
        <x:v>HB kap.11 s.205–209</x:v>
      </x:c>
    </x:row>
    <x:row r="35" ht="50.400001525878906" customHeight="1">
      <x:c r="A35" s="19" t="str">
        <x:v>TM-ESCO-VSTART</x:v>
      </x:c>
      <x:c r="B35" s="19" t="str">
        <x:v>Begäran av löpande mätvärden</x:v>
      </x:c>
      <x:c r="C35" s="19" t="str">
        <x:v>request_day</x:v>
      </x:c>
      <x:c r="D35" s="19" t="str">
        <x:v>rapportstart ej senare än idag; som mest3år tillbaka enligt tillämplig process</x:v>
      </x:c>
      <x:c r="E35" s="19" t="str">
        <x:v>calendar_years_days</x:v>
      </x:c>
      <x:c r="F35" s="19" t="str">
        <x:v>Z13V; slut utelämnas vid tills vidare.</x:v>
      </x:c>
      <x:c r="G35" s="19" t="str">
        <x:v>Läs detta som begärd rapportperiod, inte allmän sändningsfrist.</x:v>
      </x:c>
      <x:c r="H35" s="19" t="str">
        <x:v>Normativ processregel</x:v>
      </x:c>
      <x:c r="I35" s="19" t="str">
        <x:v>HB kap.11 s.205–209</x:v>
      </x:c>
    </x:row>
  </x:sheetData>
  <x:mergeCells>
    <x:mergeCell ref="A1:I1"/>
    <x:mergeCell ref="A2:I2"/>
  </x:mergeCells>
  <x:pageMargins left="0.7" right="0.7" top="0.75" bottom="0.75" header="0.3" footer="0.3"/>
  <x:tableParts count="1">
    <x:tablePart xmlns:r="http://schemas.openxmlformats.org/officeDocument/2006/relationships" r:id="R812f53ca704d4512"/>
  </x:tableParts>
</x:worksheet>
</file>

<file path=xl/worksheets/sheet12.xml><?xml version="1.0" encoding="utf-8"?>
<x:worksheet xmlns:x="http://schemas.openxmlformats.org/spreadsheetml/2006/main">
  <x:sheetFormatPr defaultRowHeight="15"/>
  <x:cols>
    <x:col min="1" max="1" width="18" hidden="0" customWidth="1"/>
    <x:col min="2" max="2" width="22" hidden="0" customWidth="1"/>
    <x:col min="3" max="3" width="30" hidden="0" customWidth="1"/>
    <x:col min="4" max="4" width="30" hidden="0" customWidth="1"/>
    <x:col min="5" max="5" width="57" hidden="0" customWidth="1"/>
    <x:col min="6" max="6" width="32" hidden="0" customWidth="1"/>
    <x:col min="7" max="7" width="59" hidden="0" customWidth="1"/>
    <x:col min="8" max="8" width="48" hidden="0" customWidth="1"/>
    <x:col min="9" max="9" width="52" hidden="0" customWidth="1"/>
    <x:col min="10" max="10" width="31" hidden="0" customWidth="1"/>
    <x:col min="11" max="11" width="35" hidden="0" customWidth="1"/>
  </x:cols>
  <x:sheetData>
    <x:row r="1" ht="30" customHeight="1">
      <x:c r="A1" s="3" t="str">
        <x:v>Tillståndsövergångar · Gridex Ediel v2</x:v>
      </x:c>
      <x:c r="B1" s="3"/>
      <x:c r="C1" s="3"/>
      <x:c r="D1" s="3"/>
      <x:c r="E1" s="3"/>
      <x:c r="F1" s="3"/>
      <x:c r="G1" s="3"/>
      <x:c r="H1" s="3"/>
      <x:c r="I1" s="3"/>
      <x:c r="J1" s="3"/>
      <x:c r="K1" s="3"/>
    </x:row>
    <x:row r="2" ht="34" customHeight="1">
      <x:c r="A2" s="8" t="str">
        <x:v>42 föreslagna övergångskontrakt. Transport, kvittens, leverans, ESCO och intern dataåtkomst hålls separata.</x:v>
      </x:c>
      <x:c r="B2" s="8"/>
      <x:c r="C2" s="8"/>
      <x:c r="D2" s="8"/>
      <x:c r="E2" s="8"/>
      <x:c r="F2" s="8"/>
      <x:c r="G2" s="8"/>
      <x:c r="H2" s="8"/>
      <x:c r="I2" s="8"/>
      <x:c r="J2" s="8"/>
      <x:c r="K2" s="8"/>
    </x:row>
    <x:row r="4" ht="37" customHeight="1">
      <x:c r="A4" s="14" t="str">
        <x:v>Övergångs-id</x:v>
      </x:c>
      <x:c r="B4" s="14" t="str">
        <x:v>Lager</x:v>
      </x:c>
      <x:c r="C4" s="14" t="str">
        <x:v>Från</x:v>
      </x:c>
      <x:c r="D4" s="14" t="str">
        <x:v>Händelse</x:v>
      </x:c>
      <x:c r="E4" s="14" t="str">
        <x:v>Villkor</x:v>
      </x:c>
      <x:c r="F4" s="14" t="str">
        <x:v>Till</x:v>
      </x:c>
      <x:c r="G4" s="14" t="str">
        <x:v>Atomiska effekter</x:v>
      </x:c>
      <x:c r="H4" s="14" t="str">
        <x:v>Förväntat nästa steg</x:v>
      </x:c>
      <x:c r="I4" s="14" t="str">
        <x:v>Om villkoren inte uppfylls</x:v>
      </x:c>
      <x:c r="J4" s="14" t="str">
        <x:v>Regel-id</x:v>
      </x:c>
      <x:c r="K4" s="14" t="str">
        <x:v>Källa</x:v>
      </x:c>
    </x:row>
    <x:row r="5" ht="36.599998474121094" customHeight="1">
      <x:c r="A5" s="19" t="str">
        <x:v>ST-T01</x:v>
      </x:c>
      <x:c r="B5" s="19" t="str">
        <x:v>transport</x:v>
      </x:c>
      <x:c r="C5" s="19" t="str">
        <x:v>planned</x:v>
      </x:c>
      <x:c r="D5" s="19" t="str">
        <x:v>prepare_command</x:v>
      </x:c>
      <x:c r="E5" s="19" t="str">
        <x:v>Auktoriserad tenant/aktör/roll + komplett publicerad profil + aktuell rutt.</x:v>
      </x:c>
      <x:c r="F5" s="19" t="str">
        <x:v>prepared</x:v>
      </x:c>
      <x:c r="G5" s="19" t="str">
        <x:v>Lås payload, beslut, källa och ruttversion; skapa outbox-intent.</x:v>
      </x:c>
      <x:c r="H5" s="19" t="str">
        <x:v>Sändning i korrekt tidsfönster.</x:v>
      </x:c>
      <x:c r="I5" s="19" t="str">
        <x:v>Intern blockerare med tydliga saknade fakta.</x:v>
      </x:c>
      <x:c r="J5" s="19" t="str">
        <x:v>TEN-01; GOV-01; ENV-01</x:v>
      </x:c>
      <x:c r="K5" s="19" t="str">
        <x:v>SYS tillståndsdesign; respektive refererad Ediel/Handbok-regel</x:v>
      </x:c>
    </x:row>
    <x:row r="6" ht="36.599998474121094" customHeight="1">
      <x:c r="A6" s="19" t="str">
        <x:v>ST-T02</x:v>
      </x:c>
      <x:c r="B6" s="19" t="str">
        <x:v>transport</x:v>
      </x:c>
      <x:c r="C6" s="19" t="str">
        <x:v>prepared</x:v>
      </x:c>
      <x:c r="D6" s="19" t="str">
        <x:v>worker_claim</x:v>
      </x:c>
      <x:c r="E6" s="19" t="str">
        <x:v>Giltig lease/fencing; aktuella behörigheter och säkerhet.</x:v>
      </x:c>
      <x:c r="F6" s="19" t="str">
        <x:v>submitting</x:v>
      </x:c>
      <x:c r="G6" s="19" t="str">
        <x:v>Skapa nytt attempt-id och stabil korrelation till samma avsikt.</x:v>
      </x:c>
      <x:c r="H6" s="19" t="str">
        <x:v>SMTP-resultat.</x:v>
      </x:c>
      <x:c r="I6" s="19" t="str">
        <x:v>Ingen extern sändning.</x:v>
      </x:c>
      <x:c r="J6" s="19" t="str">
        <x:v>TR-10; TR-06</x:v>
      </x:c>
      <x:c r="K6" s="19" t="str">
        <x:v>SYS tillståndsdesign; respektive refererad Ediel/Handbok-regel</x:v>
      </x:c>
    </x:row>
    <x:row r="7" ht="36.599998474121094" customHeight="1">
      <x:c r="A7" s="19" t="str">
        <x:v>ST-T03</x:v>
      </x:c>
      <x:c r="B7" s="19" t="str">
        <x:v>transport</x:v>
      </x:c>
      <x:c r="C7" s="19" t="str">
        <x:v>submitting</x:v>
      </x:c>
      <x:c r="D7" s="19" t="str">
        <x:v>smtp_250</x:v>
      </x:c>
      <x:c r="E7" s="19" t="str">
        <x:v>Svar avser aktuellt försök.</x:v>
      </x:c>
      <x:c r="F7" s="19" t="str">
        <x:v>smtp_accepted</x:v>
      </x:c>
      <x:c r="G7" s="19" t="str">
        <x:v>Registrera accepterad mottagare, queue-id, tid, Message-ID, payloadhash.</x:v>
      </x:c>
      <x:c r="H7" s="19" t="str">
        <x:v>CONTRL och tillämpliga andra svar som separata förväntningar.</x:v>
      </x:c>
      <x:c r="I7" s="19" t="str">
        <x:v>Spara motstridiga transportbevis för utredning.</x:v>
      </x:c>
      <x:c r="J7" s="19" t="str">
        <x:v>TR-02</x:v>
      </x:c>
      <x:c r="K7" s="19" t="str">
        <x:v>SYS tillståndsdesign; respektive refererad Ediel/Handbok-regel</x:v>
      </x:c>
    </x:row>
    <x:row r="8" ht="36.599998474121094" customHeight="1">
      <x:c r="A8" s="19" t="str">
        <x:v>ST-T04</x:v>
      </x:c>
      <x:c r="B8" s="19" t="str">
        <x:v>transport</x:v>
      </x:c>
      <x:c r="C8" s="19" t="str">
        <x:v>submitting</x:v>
      </x:c>
      <x:c r="D8" s="19" t="str">
        <x:v>connection_lost_after_DATA</x:v>
      </x:c>
      <x:c r="E8" s="19" t="str">
        <x:v>Kan inte bevisa att servern avvisat eller accepterat.</x:v>
      </x:c>
      <x:c r="F8" s="19" t="str">
        <x:v>submission_unknown</x:v>
      </x:c>
      <x:c r="G8" s="19" t="str">
        <x:v>Lås mot automatiskt duplicerad affärssändning; skapa spårningsärende.</x:v>
      </x:c>
      <x:c r="H8" s="19" t="str">
        <x:v>Verifierat leverans-/förlustutfall.</x:v>
      </x:c>
      <x:c r="I8" s="19" t="str">
        <x:v>Ingen gissning.</x:v>
      </x:c>
      <x:c r="J8" s="19" t="str">
        <x:v>TR-10; TR-05</x:v>
      </x:c>
      <x:c r="K8" s="19" t="str">
        <x:v>SYS tillståndsdesign; respektive refererad Ediel/Handbok-regel</x:v>
      </x:c>
    </x:row>
    <x:row r="9" ht="36.599998474121094" customHeight="1">
      <x:c r="A9" s="19" t="str">
        <x:v>ST-T05</x:v>
      </x:c>
      <x:c r="B9" s="19" t="str">
        <x:v>transport</x:v>
      </x:c>
      <x:c r="C9" s="19" t="str">
        <x:v>submitting</x:v>
      </x:c>
      <x:c r="D9" s="19" t="str">
        <x:v>known_not_submitted</x:v>
      </x:c>
      <x:c r="E9" s="19" t="str">
        <x:v>Verifierat fel före möjlig acceptans eller explicit avvisning.</x:v>
      </x:c>
      <x:c r="F9" s="19" t="str">
        <x:v>transport_failed</x:v>
      </x:c>
      <x:c r="G9" s="19" t="str">
        <x:v>Spara felklass; planera policytillåtet försök utan ny affärshändelse.</x:v>
      </x:c>
      <x:c r="H9" s="19" t="str">
        <x:v>Ny preflight om försök medges.</x:v>
      </x:c>
      <x:c r="I9" s="19" t="str">
        <x:v>Vid osäkerhet använd submission_unknown.</x:v>
      </x:c>
      <x:c r="J9" s="19" t="str">
        <x:v>TR-10</x:v>
      </x:c>
      <x:c r="K9" s="19" t="str">
        <x:v>SYS tillståndsdesign; respektive refererad Ediel/Handbok-regel</x:v>
      </x:c>
    </x:row>
    <x:row r="10" ht="36.599998474121094" customHeight="1">
      <x:c r="A10" s="19" t="str">
        <x:v>ST-T06</x:v>
      </x:c>
      <x:c r="B10" s="19" t="str">
        <x:v>transport</x:v>
      </x:c>
      <x:c r="C10" s="19" t="str">
        <x:v>smtp_accepted</x:v>
      </x:c>
      <x:c r="D10" s="19" t="str">
        <x:v>verified_DSN_failure</x:v>
      </x:c>
      <x:c r="E10" s="19" t="str">
        <x:v>Rätt attempt/originalidentitet och mottagare.</x:v>
      </x:c>
      <x:c r="F10" s="19" t="str">
        <x:v>delivery_failed</x:v>
      </x:c>
      <x:c r="G10" s="19" t="str">
        <x:v>Koppla strukturerat DSN och ansvarig åtgärd.</x:v>
      </x:c>
      <x:c r="H10" s="19" t="str">
        <x:v>Spårning/rättelse/omsändningsbeslut enligt meddelandet.</x:v>
      </x:c>
      <x:c r="I10" s="19" t="str">
        <x:v>Omatchat DSN till skyddad utredning.</x:v>
      </x:c>
      <x:c r="J10" s="19" t="str">
        <x:v>TR-04; TR-05</x:v>
      </x:c>
      <x:c r="K10" s="19" t="str">
        <x:v>SYS tillståndsdesign; respektive refererad Ediel/Handbok-regel</x:v>
      </x:c>
    </x:row>
    <x:row r="11" ht="36.599998474121094" customHeight="1">
      <x:c r="A11" s="19" t="str">
        <x:v>ST-T07</x:v>
      </x:c>
      <x:c r="B11" s="19" t="str">
        <x:v>ack</x:v>
      </x:c>
      <x:c r="C11" s="19" t="str">
        <x:v>awaiting_contrl</x:v>
      </x:c>
      <x:c r="D11" s="19" t="str">
        <x:v>CONTRL_positive</x:v>
      </x:c>
      <x:c r="E11" s="19" t="str">
        <x:v>UCI/UCM binder rätt tekniskt original och omfattning.</x:v>
      </x:c>
      <x:c r="F11" s="19" t="str">
        <x:v>syntax_acknowledged</x:v>
      </x:c>
      <x:c r="G11" s="19" t="str">
        <x:v>Registrera kvittens utan affärsaktivering.</x:v>
      </x:c>
      <x:c r="H11" s="19" t="str">
        <x:v>Applikations- och affärssvar om sådana återstår.</x:v>
      </x:c>
      <x:c r="I11" s="19" t="str">
        <x:v>Korrelation-/säkerhetsutredning.</x:v>
      </x:c>
      <x:c r="J11" s="19" t="str">
        <x:v>ACK-01; ACK-06</x:v>
      </x:c>
      <x:c r="K11" s="19" t="str">
        <x:v>SYS tillståndsdesign; respektive refererad Ediel/Handbok-regel</x:v>
      </x:c>
    </x:row>
    <x:row r="12" ht="36.599998474121094" customHeight="1">
      <x:c r="A12" s="19" t="str">
        <x:v>ST-T08</x:v>
      </x:c>
      <x:c r="B12" s="19" t="str">
        <x:v>ack</x:v>
      </x:c>
      <x:c r="C12" s="19" t="str">
        <x:v>awaiting_contrl</x:v>
      </x:c>
      <x:c r="D12" s="19" t="str">
        <x:v>CONTRL_negative</x:v>
      </x:c>
      <x:c r="E12" s="19" t="str">
        <x:v>Rätt original; negativt syntaxutfall.</x:v>
      </x:c>
      <x:c r="F12" s="19" t="str">
        <x:v>syntax_rejected</x:v>
      </x:c>
      <x:c r="G12" s="19" t="str">
        <x:v>Larma, bind teknisk felposition och rättelseärende.</x:v>
      </x:c>
      <x:c r="H12" s="19" t="str">
        <x:v>Rättad hel överföring enligt guide.</x:v>
      </x:c>
      <x:c r="I12" s="19" t="str">
        <x:v>Omatchad kvittens ändrar inget ärende.</x:v>
      </x:c>
      <x:c r="J12" s="19" t="str">
        <x:v>ACK-01; TR-05</x:v>
      </x:c>
      <x:c r="K12" s="19" t="str">
        <x:v>SYS tillståndsdesign; respektive refererad Ediel/Handbok-regel</x:v>
      </x:c>
    </x:row>
    <x:row r="13" ht="36.599998474121094" customHeight="1">
      <x:c r="A13" s="19" t="str">
        <x:v>ST-A01</x:v>
      </x:c>
      <x:c r="B13" s="19" t="str">
        <x:v>ack</x:v>
      </x:c>
      <x:c r="C13" s="19" t="str">
        <x:v>awaiting_application_ack</x:v>
      </x:c>
      <x:c r="D13" s="19" t="str">
        <x:v>APERAK_positive</x:v>
      </x:c>
      <x:c r="E13" s="19" t="str">
        <x:v>Familjespecifika referenser och samtliga angivna delutfall giltiga.</x:v>
      </x:c>
      <x:c r="F13" s="19" t="str">
        <x:v>application_acknowledged</x:v>
      </x:c>
      <x:c r="G13" s="19" t="str">
        <x:v>Uppdatera endast kvitterat objekts/transaktions tillstånd.</x:v>
      </x:c>
      <x:c r="H13" s="19" t="str">
        <x:v>Affärssvar väntas fortfarande om tillämpligt.</x:v>
      </x:c>
      <x:c r="I13" s="19" t="str">
        <x:v>Ingen acceptans genom fel familj/kund/tenant.</x:v>
      </x:c>
      <x:c r="J13" s="19" t="str">
        <x:v>ACK-02; ACK-03; ACK-06</x:v>
      </x:c>
      <x:c r="K13" s="19" t="str">
        <x:v>SYS tillståndsdesign; respektive refererad Ediel/Handbok-regel</x:v>
      </x:c>
    </x:row>
    <x:row r="14" ht="36.599998474121094" customHeight="1">
      <x:c r="A14" s="19" t="str">
        <x:v>ST-A02</x:v>
      </x:c>
      <x:c r="B14" s="19" t="str">
        <x:v>ack</x:v>
      </x:c>
      <x:c r="C14" s="19" t="str">
        <x:v>awaiting_application_ack</x:v>
      </x:c>
      <x:c r="D14" s="19" t="str">
        <x:v>APERAK_negative</x:v>
      </x:c>
      <x:c r="E14" s="19" t="str">
        <x:v>Rätt original/objekt/transaktion; korrekt kodtolkning.</x:v>
      </x:c>
      <x:c r="F14" s="19" t="str">
        <x:v>application_rejected</x:v>
      </x:c>
      <x:c r="G14" s="19" t="str">
        <x:v>Spara fel och blockera felaktig fortsättning för berörda delar.</x:v>
      </x:c>
      <x:c r="H14" s="19" t="str">
        <x:v>Rättelse med nytt BGM när processen medger.</x:v>
      </x:c>
      <x:c r="I14" s="19" t="str">
        <x:v>Skapa inte motsatt kvittens på redan slutligt kvitterad del.</x:v>
      </x:c>
      <x:c r="J14" s="19" t="str">
        <x:v>ACK-07; TR-05</x:v>
      </x:c>
      <x:c r="K14" s="19" t="str">
        <x:v>SYS tillståndsdesign; respektive refererad Ediel/Handbok-regel</x:v>
      </x:c>
    </x:row>
    <x:row r="15" ht="36.599998474121094" customHeight="1">
      <x:c r="A15" s="19" t="str">
        <x:v>ST-Q01</x:v>
      </x:c>
      <x:c r="B15" s="19" t="str">
        <x:v>customer_info</x:v>
      </x:c>
      <x:c r="C15" s="19" t="str">
        <x:v>draft</x:v>
      </x:c>
      <x:c r="D15" s="19" t="str">
        <x:v>submit_Z01</x:v>
      </x:c>
      <x:c r="E15" s="19" t="str">
        <x:v>Behörig kund-/anläggningsförfrågan och källstyrd profil.</x:v>
      </x:c>
      <x:c r="F15" s="19" t="str">
        <x:v>awaiting_Z02</x:v>
      </x:c>
      <x:c r="G15" s="19" t="str">
        <x:v>Koppla egen Z01 och oberoende bevakningar.</x:v>
      </x:c>
      <x:c r="H15" s="19" t="str">
        <x:v>Z02 eller negativ APERAK; inte Z04.</x:v>
      </x:c>
      <x:c r="I15" s="19" t="str">
        <x:v>Blockerad avsikt, ingen extern sändning.</x:v>
      </x:c>
      <x:c r="J15" s="19" t="str">
        <x:v>P-10</x:v>
      </x:c>
      <x:c r="K15" s="19" t="str">
        <x:v>SYS tillståndsdesign; respektive refererad Ediel/Handbok-regel</x:v>
      </x:c>
    </x:row>
    <x:row r="16" ht="36.599998474121094" customHeight="1">
      <x:c r="A16" s="19" t="str">
        <x:v>ST-Q02</x:v>
      </x:c>
      <x:c r="B16" s="19" t="str">
        <x:v>customer_info</x:v>
      </x:c>
      <x:c r="C16" s="19" t="str">
        <x:v>awaiting_Z02</x:v>
      </x:c>
      <x:c r="D16" s="19" t="str">
        <x:v>valid_Z02</x:v>
      </x:c>
      <x:c r="E16" s="19" t="str">
        <x:v>LI, parter, kund, objekt, nätområde och meddelandeprofil stämmer.</x:v>
      </x:c>
      <x:c r="F16" s="19" t="str">
        <x:v>information_verified</x:v>
      </x:c>
      <x:c r="G16" s="19" t="str">
        <x:v>Lagra godkända uppgifter atomärt och avsluta rätt svarsförväntning.</x:v>
      </x:c>
      <x:c r="H16" s="19" t="str">
        <x:v>Separat readinessprövning av Z03 om det finns giltigt leveransavtal.</x:v>
      </x:c>
      <x:c r="I16" s="19" t="str">
        <x:v>Guide-/affärsfel eller intern korrelationsutredning enligt orsak.</x:v>
      </x:c>
      <x:c r="J16" s="19" t="str">
        <x:v>P-10; TEN-06</x:v>
      </x:c>
      <x:c r="K16" s="19" t="str">
        <x:v>SYS tillståndsdesign; respektive refererad Ediel/Handbok-regel</x:v>
      </x:c>
    </x:row>
    <x:row r="17" ht="36.599998474121094" customHeight="1">
      <x:c r="A17" s="19" t="str">
        <x:v>ST-Q03</x:v>
      </x:c>
      <x:c r="B17" s="19" t="str">
        <x:v>customer_info</x:v>
      </x:c>
      <x:c r="C17" s="19" t="str">
        <x:v>awaiting_Z02</x:v>
      </x:c>
      <x:c r="D17" s="19" t="str">
        <x:v>response_timeout</x:v>
      </x:c>
      <x:c r="E17" s="19" t="str">
        <x:v>Tillämplig bevakning förfaller utan svar.</x:v>
      </x:c>
      <x:c r="F17" s="19" t="str">
        <x:v>response_overdue</x:v>
      </x:c>
      <x:c r="G17" s="19" t="str">
        <x:v>Skapa ansvarig uppgift; bevara skickat original och statuslager.</x:v>
      </x:c>
      <x:c r="H17" s="19" t="str">
        <x:v>Kontakt/spårning; ingen automatisk Z03 eller ny Z01.</x:v>
      </x:c>
      <x:c r="I17" s="19" t="str">
        <x:v>Timer får inte starta om efter sen CONTRL.</x:v>
      </x:c>
      <x:c r="J17" s="19" t="str">
        <x:v>OPS-02; TR-05</x:v>
      </x:c>
      <x:c r="K17" s="19" t="str">
        <x:v>SYS tillståndsdesign; respektive refererad Ediel/Handbok-regel</x:v>
      </x:c>
    </x:row>
    <x:row r="18" ht="36.599998474121094" customHeight="1">
      <x:c r="A18" s="19" t="str">
        <x:v>ST-S01</x:v>
      </x:c>
      <x:c r="B18" s="19" t="str">
        <x:v>supplier_switch</x:v>
      </x:c>
      <x:c r="C18" s="19" t="str">
        <x:v>draft/ready</x:v>
      </x:c>
      <x:c r="D18" s="19" t="str">
        <x:v>submit_Z03L/LK</x:v>
      </x:c>
      <x:c r="E18" s="19" t="str">
        <x:v>Giltigt avtal, korrekt roll och datumfönster; eventuella uppgiftskontroller klara.</x:v>
      </x:c>
      <x:c r="F18" s="19" t="str">
        <x:v>submitted_awaiting_business</x:v>
      </x:c>
      <x:c r="G18" s="19" t="str">
        <x:v>Outbox, källbeslut och ärendereferens lagras tillsammans.</x:v>
      </x:c>
      <x:c r="H18" s="19" t="str">
        <x:v>Rätt Z04 + kvittenser; ingen aktiv leverans.</x:v>
      </x:c>
      <x:c r="I18" s="19" t="str">
        <x:v>Blockera med verklig orsak.</x:v>
      </x:c>
      <x:c r="J18" s="19" t="str">
        <x:v>P-11</x:v>
      </x:c>
      <x:c r="K18" s="19" t="str">
        <x:v>SYS tillståndsdesign; respektive refererad Ediel/Handbok-regel</x:v>
      </x:c>
    </x:row>
    <x:row r="19" ht="36.599998474121094" customHeight="1">
      <x:c r="A19" s="19" t="str">
        <x:v>ST-S02</x:v>
      </x:c>
      <x:c r="B19" s="19" t="str">
        <x:v>supplier_switch</x:v>
      </x:c>
      <x:c r="C19" s="19" t="str">
        <x:v>submitted_awaiting_business</x:v>
      </x:c>
      <x:c r="D19" s="19" t="str">
        <x:v>valid_Z04L/LK</x:v>
      </x:c>
      <x:c r="E19" s="19" t="str">
        <x:v>Korrelerad bekräftelse, tillämpliga fält och datum.</x:v>
      </x:c>
      <x:c r="F19" s="19" t="str">
        <x:v>confirmed_pending_start</x:v>
      </x:c>
      <x:c r="G19" s="19" t="str">
        <x:v>Skapa/versionera framtida customer_supply_period och uppdatera affärsstatus.</x:v>
      </x:c>
      <x:c r="H19" s="19" t="str">
        <x:v>Starttimer; kvittens kan ännu återstå separat.</x:v>
      </x:c>
      <x:c r="I19" s="19" t="str">
        <x:v>Ingen ändring från fel tenant/objekt/undertyp.</x:v>
      </x:c>
      <x:c r="J19" s="19" t="str">
        <x:v>P-11; ACK-06</x:v>
      </x:c>
      <x:c r="K19" s="19" t="str">
        <x:v>SYS tillståndsdesign; respektive refererad Ediel/Handbok-regel</x:v>
      </x:c>
    </x:row>
    <x:row r="20" ht="36.599998474121094" customHeight="1">
      <x:c r="A20" s="19" t="str">
        <x:v>ST-S03</x:v>
      </x:c>
      <x:c r="B20" s="19" t="str">
        <x:v>supplier_switch</x:v>
      </x:c>
      <x:c r="C20" s="19" t="str">
        <x:v>confirmed_pending_start</x:v>
      </x:c>
      <x:c r="D20" s="19" t="str">
        <x:v>effective_start_reached</x:v>
      </x:c>
      <x:c r="E20" s="19" t="str">
        <x:v>Bekräftelsen fortfarande giltig; ingen giltig kancellering/konflikt; datum och aktörsrätt rätt.</x:v>
      </x:c>
      <x:c r="F20" s="19" t="str">
        <x:v>active</x:v>
      </x:c>
      <x:c r="G20" s="19" t="str">
        <x:v>Aktivera endast rätt leveransperiod och efterföljande operativa uppgifter.</x:v>
      </x:c>
      <x:c r="H20" s="19" t="str">
        <x:v>Mätvärden och fakturaunderlag för rätt period.</x:v>
      </x:c>
      <x:c r="I20" s="19" t="str">
        <x:v>Vänta/utred, tillverka inte ny Z04.</x:v>
      </x:c>
      <x:c r="J20" s="19" t="str">
        <x:v>P-11; DB-02</x:v>
      </x:c>
      <x:c r="K20" s="19" t="str">
        <x:v>SYS tillståndsdesign; respektive refererad Ediel/Handbok-regel</x:v>
      </x:c>
    </x:row>
    <x:row r="21" ht="36.599998474121094" customHeight="1">
      <x:c r="A21" s="19" t="str">
        <x:v>ST-S04</x:v>
      </x:c>
      <x:c r="B21" s="19" t="str">
        <x:v>supplier_switch</x:v>
      </x:c>
      <x:c r="C21" s="19" t="str">
        <x:v>submitted_awaiting_business/confirmed_pending_start</x:v>
      </x:c>
      <x:c r="D21" s="19" t="str">
        <x:v>submit_Z03C</x:v>
      </x:c>
      <x:c r="E21" s="19" t="str">
        <x:v>Rätt återtagsgrund och deadline.</x:v>
      </x:c>
      <x:c r="F21" s="19" t="str">
        <x:v>cancellation_requested</x:v>
      </x:c>
      <x:c r="G21" s="19" t="str">
        <x:v>Skapa korrelerad kancelleringsavsikt; håll ursprungsjournalen oförändrad.</x:v>
      </x:c>
      <x:c r="H21" s="19" t="str">
        <x:v>Tillämpliga kvittenser och Z04C.</x:v>
      </x:c>
      <x:c r="I21" s="19" t="str">
        <x:v>Ingen tyst radering.</x:v>
      </x:c>
      <x:c r="J21" s="19" t="str">
        <x:v>P-14</x:v>
      </x:c>
      <x:c r="K21" s="19" t="str">
        <x:v>SYS tillståndsdesign; respektive refererad Ediel/Handbok-regel</x:v>
      </x:c>
    </x:row>
    <x:row r="22" ht="36.599998474121094" customHeight="1">
      <x:c r="A22" s="19" t="str">
        <x:v>ST-S05</x:v>
      </x:c>
      <x:c r="B22" s="19" t="str">
        <x:v>supplier_switch</x:v>
      </x:c>
      <x:c r="C22" s="19" t="str">
        <x:v>cancellation_requested/confirmed_pending_start</x:v>
      </x:c>
      <x:c r="D22" s="19" t="str">
        <x:v>valid_Z04C</x:v>
      </x:c>
      <x:c r="E22" s="19" t="str">
        <x:v>Rätt kancellerat original och process.</x:v>
      </x:c>
      <x:c r="F22" s="19" t="str">
        <x:v>cancelled</x:v>
      </x:c>
      <x:c r="G22" s="19" t="str">
        <x:v>Upphäv rätt framtida effekt; vid redan aktiv period skapa explicit korrigeringsförlopp.</x:v>
      </x:c>
      <x:c r="H22" s="19" t="str">
        <x:v>Avslutad/korrigerad process.</x:v>
      </x:c>
      <x:c r="I22" s="19" t="str">
        <x:v>Ordningskonflikt utreds med sparat meddelande.</x:v>
      </x:c>
      <x:c r="J22" s="19" t="str">
        <x:v>P-14</x:v>
      </x:c>
      <x:c r="K22" s="19" t="str">
        <x:v>SYS tillståndsdesign; respektive refererad Ediel/Handbok-regel</x:v>
      </x:c>
    </x:row>
    <x:row r="23" ht="36.599998474121094" customHeight="1">
      <x:c r="A23" s="19" t="str">
        <x:v>ST-S06</x:v>
      </x:c>
      <x:c r="B23" s="19" t="str">
        <x:v>supplier_supply</x:v>
      </x:c>
      <x:c r="C23" s="19" t="str">
        <x:v>active/confirmed_pending_start</x:v>
      </x:c>
      <x:c r="D23" s="19" t="str">
        <x:v>valid_Z05L/LK</x:v>
      </x:c>
      <x:c r="E23" s="19" t="str">
        <x:v>Mottagaren är rätt tidigare leverantör för objekt/tid.</x:v>
      </x:c>
      <x:c r="F23" s="19" t="str">
        <x:v>ending_or_ended</x:v>
      </x:c>
      <x:c r="G23" s="19" t="str">
        <x:v>Lagra aviserat slut på rätt relation; avsluta vid tid; skapa slutvärdesuppgift.</x:v>
      </x:c>
      <x:c r="H23" s="19" t="str">
        <x:v>Slutvärden/slutunderlag.</x:v>
      </x:c>
      <x:c r="I23" s="19" t="str">
        <x:v>Ändra inte annan tenant/ESCO.</x:v>
      </x:c>
      <x:c r="J23" s="19" t="str">
        <x:v>P-13</x:v>
      </x:c>
      <x:c r="K23" s="19" t="str">
        <x:v>SYS tillståndsdesign; respektive refererad Ediel/Handbok-regel</x:v>
      </x:c>
    </x:row>
    <x:row r="24" ht="36.599998474121094" customHeight="1">
      <x:c r="A24" s="19" t="str">
        <x:v>ST-S07</x:v>
      </x:c>
      <x:c r="B24" s="19" t="str">
        <x:v>supplier_supply</x:v>
      </x:c>
      <x:c r="C24" s="19" t="str">
        <x:v>ending_or_ended</x:v>
      </x:c>
      <x:c r="D24" s="19" t="str">
        <x:v>valid_Z05C</x:v>
      </x:c>
      <x:c r="E24" s="19" t="str">
        <x:v>Rätt tidigare slut återtas och ingen annan giltig konflikt.</x:v>
      </x:c>
      <x:c r="F24" s="19" t="str">
        <x:v>restored_or_correction_pending</x:v>
      </x:c>
      <x:c r="G24" s="19" t="str">
        <x:v>Återställ berörd period med spårbar kompensation.</x:v>
      </x:c>
      <x:c r="H24" s="19" t="str">
        <x:v>Omprövad leverans- och fakturabild.</x:v>
      </x:c>
      <x:c r="I24" s="19" t="str">
        <x:v>Manuell konflikt, inte duplicerad period.</x:v>
      </x:c>
      <x:c r="J24" s="19" t="str">
        <x:v>P-14</x:v>
      </x:c>
      <x:c r="K24" s="19" t="str">
        <x:v>SYS tillståndsdesign; respektive refererad Ediel/Handbok-regel</x:v>
      </x:c>
    </x:row>
    <x:row r="25" ht="36.599998474121094" customHeight="1">
      <x:c r="A25" s="19" t="str">
        <x:v>ST-S08</x:v>
      </x:c>
      <x:c r="B25" s="19" t="str">
        <x:v>supplier_supply</x:v>
      </x:c>
      <x:c r="C25" s="19" t="str">
        <x:v>no_correlated_Z03</x:v>
      </x:c>
      <x:c r="D25" s="19" t="str">
        <x:v>valid_Z04A</x:v>
      </x:c>
      <x:c r="E25" s="19" t="str">
        <x:v>Verifierat anvisningsavtal och nätområde samt tillämpliga fält/datum.</x:v>
      </x:c>
      <x:c r="F25" s="19" t="str">
        <x:v>assigned_pending_or_active</x:v>
      </x:c>
      <x:c r="G25" s="19" t="str">
        <x:v>Skapa egen anvisningsrelation och korrekt giltighet.</x:v>
      </x:c>
      <x:c r="H25" s="19" t="str">
        <x:v>Mätvärden/fakturering enligt anvisningen.</x:v>
      </x:c>
      <x:c r="I25" s="19" t="str">
        <x:v>Avvisa/utred rättsligt/affärsmässigt; inte generiskt missing_Z03.</x:v>
      </x:c>
      <x:c r="J25" s="19" t="str">
        <x:v>P-12</x:v>
      </x:c>
      <x:c r="K25" s="19" t="str">
        <x:v>SYS tillståndsdesign; respektive refererad Ediel/Handbok-regel</x:v>
      </x:c>
    </x:row>
    <x:row r="26" ht="36.599998474121094" customHeight="1">
      <x:c r="A26" s="19" t="str">
        <x:v>ST-S09</x:v>
      </x:c>
      <x:c r="B26" s="19" t="str">
        <x:v>production_supply</x:v>
      </x:c>
      <x:c r="C26" s="19" t="str">
        <x:v>no_correlated_Z03</x:v>
      </x:c>
      <x:c r="D26" s="19" t="str">
        <x:v>valid_Z04D</x:v>
      </x:c>
      <x:c r="E26" s="19" t="str">
        <x:v>Mottagningsplikt och kopplad förbrukningsanläggning enligt319.</x:v>
      </x:c>
      <x:c r="F26" s="19" t="str">
        <x:v>production_obligation_recorded</x:v>
      </x:c>
      <x:c r="G26" s="19" t="str">
        <x:v>Skapa/versionera produktionens relation utan att skriva över förbrukningen.</x:v>
      </x:c>
      <x:c r="H26" s="19" t="str">
        <x:v>Relevanta produktionsvärden/avtal.</x:v>
      </x:c>
      <x:c r="I26" s="19" t="str">
        <x:v>Fel relation går inte till vanlig konsumentstart.</x:v>
      </x:c>
      <x:c r="J26" s="19" t="str">
        <x:v>P-12</x:v>
      </x:c>
      <x:c r="K26" s="19" t="str">
        <x:v>SYS tillståndsdesign; respektive refererad Ediel/Handbok-regel</x:v>
      </x:c>
    </x:row>
    <x:row r="27" ht="36.599998474121094" customHeight="1">
      <x:c r="A27" s="19" t="str">
        <x:v>ST-M01</x:v>
      </x:c>
      <x:c r="B27" s="19" t="str">
        <x:v>structure</x:v>
      </x:c>
      <x:c r="C27" s="19" t="str">
        <x:v>known_version</x:v>
      </x:c>
      <x:c r="D27" s="19" t="str">
        <x:v>valid_Z06F/G</x:v>
      </x:c>
      <x:c r="E27" s="19" t="str">
        <x:v>Rätt avsändare, objekt, giltighet och tillämpliga fält.</x:v>
      </x:c>
      <x:c r="F27" s="19" t="str">
        <x:v>new_effective_version</x:v>
      </x:c>
      <x:c r="G27" s="19" t="str">
        <x:v>Versionera struktur; skapa eventuella avläsningsförväntningar.</x:v>
      </x:c>
      <x:c r="H27" s="19" t="str">
        <x:v>Rätt UTILTS enligt ändringshändelsen.</x:v>
      </x:c>
      <x:c r="I27" s="19" t="str">
        <x:v>Korrekt kvittens-/felutfall utan historikförlust.</x:v>
      </x:c>
      <x:c r="J27" s="19" t="str">
        <x:v>P-15</x:v>
      </x:c>
      <x:c r="K27" s="19" t="str">
        <x:v>SYS tillståndsdesign; respektive refererad Ediel/Handbok-regel</x:v>
      </x:c>
    </x:row>
    <x:row r="28" ht="36.599998474121094" customHeight="1">
      <x:c r="A28" s="19" t="str">
        <x:v>ST-M02</x:v>
      </x:c>
      <x:c r="B28" s="19" t="str">
        <x:v>meter</x:v>
      </x:c>
      <x:c r="C28" s="19" t="str">
        <x:v>known_meter</x:v>
      </x:c>
      <x:c r="D28" s="19" t="str">
        <x:v>valid_Z10M</x:v>
      </x:c>
      <x:c r="E28" s="19" t="str">
        <x:v>Ny/gammal mätare olika; korrekt registergruppering och gränstid.</x:v>
      </x:c>
      <x:c r="F28" s="19" t="str">
        <x:v>meter_change_recorded</x:v>
      </x:c>
      <x:c r="G28" s="19" t="str">
        <x:v>Stäng gammal giltighet, skapa ny; bevara historiska observationer.</x:v>
      </x:c>
      <x:c r="H28" s="19" t="str">
        <x:v>UTILTS-transaktioner före/efter bytet.</x:v>
      </x:c>
      <x:c r="I28" s="19" t="str">
        <x:v>Blockera motstridig mutation, inte godkänn på första LIN enbart.</x:v>
      </x:c>
      <x:c r="J28" s="19" t="str">
        <x:v>P-05; P-15</x:v>
      </x:c>
      <x:c r="K28" s="19" t="str">
        <x:v>SYS tillståndsdesign; respektive refererad Ediel/Handbok-regel</x:v>
      </x:c>
    </x:row>
    <x:row r="29" ht="36.599998474121094" customHeight="1">
      <x:c r="A29" s="19" t="str">
        <x:v>ST-E01</x:v>
      </x:c>
      <x:c r="B29" s="19" t="str">
        <x:v>esco_request</x:v>
      </x:c>
      <x:c r="C29" s="19" t="str">
        <x:v>draft</x:v>
      </x:c>
      <x:c r="D29" s="19" t="str">
        <x:v>submit_Z13V/VH</x:v>
      </x:c>
      <x:c r="E29" s="19" t="str">
        <x:v>Provider legal ESCO, kund/DSO-avtal, avgränsning och samordning klara.</x:v>
      </x:c>
      <x:c r="F29" s="19" t="str">
        <x:v>submitted_awaiting_customer_decision</x:v>
      </x:c>
      <x:c r="G29" s="19" t="str">
        <x:v>Lagra begäran, serviceuppdrag, rättigheter under prövning och sändningsavsikt.</x:v>
      </x:c>
      <x:c r="H29" s="19" t="str">
        <x:v>APERAK för begäran; därefter Z14 eller N.</x:v>
      </x:c>
      <x:c r="I29" s="19" t="str">
        <x:v>Ingen dataåtkomst skapas.</x:v>
      </x:c>
      <x:c r="J29" s="19" t="str">
        <x:v>ESCO-01; TEN-03</x:v>
      </x:c>
      <x:c r="K29" s="19" t="str">
        <x:v>SYS tillståndsdesign; respektive refererad Ediel/Handbok-regel</x:v>
      </x:c>
    </x:row>
    <x:row r="30" ht="36.599998474121094" customHeight="1">
      <x:c r="A30" s="19" t="str">
        <x:v>ST-E02</x:v>
      </x:c>
      <x:c r="B30" s="19" t="str">
        <x:v>esco_request</x:v>
      </x:c>
      <x:c r="C30" s="19" t="str">
        <x:v>submitted_awaiting_customer_decision</x:v>
      </x:c>
      <x:c r="D30" s="19" t="str">
        <x:v>positive_APERAK_Z13</x:v>
      </x:c>
      <x:c r="E30" s="19" t="str">
        <x:v>Korrelerad applikationskvittens.</x:v>
      </x:c>
      <x:c r="F30" s="19" t="str">
        <x:v>awaiting_customer_decision</x:v>
      </x:c>
      <x:c r="G30" s="19" t="str">
        <x:v>Uppdatera endast begärans applikationsstatus.</x:v>
      </x:c>
      <x:c r="H30" s="19" t="str">
        <x:v>Z14 V/VH/N inom relevant förlopp.</x:v>
      </x:c>
      <x:c r="I30" s="19" t="str">
        <x:v>Kvittensen är inte market_permission.</x:v>
      </x:c>
      <x:c r="J30" s="19" t="str">
        <x:v>ESCO-03</x:v>
      </x:c>
      <x:c r="K30" s="19" t="str">
        <x:v>SYS tillståndsdesign; respektive refererad Ediel/Handbok-regel</x:v>
      </x:c>
    </x:row>
    <x:row r="31" ht="50.400001525878906" customHeight="1">
      <x:c r="A31" s="19" t="str">
        <x:v>ST-E03</x:v>
      </x:c>
      <x:c r="B31" s="19" t="str">
        <x:v>esco_request</x:v>
      </x:c>
      <x:c r="C31" s="19" t="str">
        <x:v>submitted_awaiting_customer_decision/awaiting_customer_decision</x:v>
      </x:c>
      <x:c r="D31" s="19" t="str">
        <x:v>valid_Z14V/VH</x:v>
      </x:c>
      <x:c r="E31" s="19" t="str">
        <x:v>A74 och korrekt kund, aktör, LI, objekt och period; källans krav uppfyllda.</x:v>
      </x:c>
      <x:c r="F31" s="19" t="str">
        <x:v>approved_for_listed_objects</x:v>
      </x:c>
      <x:c r="G31" s="19" t="str">
        <x:v>Skapa market_permission och permission_objects; samordna tillåtna serviceuppdrag utan överutdelning.</x:v>
      </x:c>
      <x:c r="H31" s="19" t="str">
        <x:v>E66 och separat intern grantpublicering.</x:v>
      </x:c>
      <x:c r="I31" s="19" t="str">
        <x:v>Ett godkänt objekt ger inte alla objekt/kunder.</x:v>
      </x:c>
      <x:c r="J31" s="19" t="str">
        <x:v>ESCO-04; TEN-08</x:v>
      </x:c>
      <x:c r="K31" s="19" t="str">
        <x:v>SYS tillståndsdesign; respektive refererad Ediel/Handbok-regel</x:v>
      </x:c>
    </x:row>
    <x:row r="32" ht="36.599998474121094" customHeight="1">
      <x:c r="A32" s="19" t="str">
        <x:v>ST-E04</x:v>
      </x:c>
      <x:c r="B32" s="19" t="str">
        <x:v>esco_request</x:v>
      </x:c>
      <x:c r="C32" s="19" t="str">
        <x:v>awaiting_customer_decision</x:v>
      </x:c>
      <x:c r="D32" s="19" t="str">
        <x:v>valid_Z14N_A13</x:v>
      </x:c>
      <x:c r="E32" s="19" t="str">
        <x:v>Korrekt aktivt nekande.</x:v>
      </x:c>
      <x:c r="F32" s="19" t="str">
        <x:v>denied_active</x:v>
      </x:c>
      <x:c r="G32" s="19" t="str">
        <x:v>Avsluta rätt begärans väntan; lagra orsak.</x:v>
      </x:c>
      <x:c r="H32" s="19" t="str">
        <x:v>Kundkommunikation/ny behörig process enligt reglerna.</x:v>
      </x:c>
      <x:c r="I32" s="19" t="str">
        <x:v>Gör inte negativt affärssvar till syntaxfel.</x:v>
      </x:c>
      <x:c r="J32" s="19" t="str">
        <x:v>ESCO-05</x:v>
      </x:c>
      <x:c r="K32" s="19" t="str">
        <x:v>SYS tillståndsdesign; respektive refererad Ediel/Handbok-regel</x:v>
      </x:c>
    </x:row>
    <x:row r="33" ht="36.599998474121094" customHeight="1">
      <x:c r="A33" s="19" t="str">
        <x:v>ST-E05</x:v>
      </x:c>
      <x:c r="B33" s="19" t="str">
        <x:v>esco_request</x:v>
      </x:c>
      <x:c r="C33" s="19" t="str">
        <x:v>awaiting_customer_decision</x:v>
      </x:c>
      <x:c r="D33" s="19" t="str">
        <x:v>valid_Z14N_A76</x:v>
      </x:c>
      <x:c r="E33" s="19" t="str">
        <x:v>Korrekt passivt nekande.</x:v>
      </x:c>
      <x:c r="F33" s="19" t="str">
        <x:v>denied_passive</x:v>
      </x:c>
      <x:c r="G33" s="19" t="str">
        <x:v>Lagra faktiskt mottaget nekande.</x:v>
      </x:c>
      <x:c r="H33" s="19" t="str">
        <x:v>Tillåten ny process efter relevanta förutsättningar.</x:v>
      </x:c>
      <x:c r="I33" s="19" t="str">
        <x:v>Skapa inte detta meddelande lokalt enbart vid egen timeout.</x:v>
      </x:c>
      <x:c r="J33" s="19" t="str">
        <x:v>ESCO-05</x:v>
      </x:c>
      <x:c r="K33" s="19" t="str">
        <x:v>SYS tillståndsdesign; respektive refererad Ediel/Handbok-regel</x:v>
      </x:c>
    </x:row>
    <x:row r="34" ht="36.599998474121094" customHeight="1">
      <x:c r="A34" s="19" t="str">
        <x:v>ST-E06</x:v>
      </x:c>
      <x:c r="B34" s="19" t="str">
        <x:v>esco_request</x:v>
      </x:c>
      <x:c r="C34" s="19" t="str">
        <x:v>awaiting_customer_decision</x:v>
      </x:c>
      <x:c r="D34" s="19" t="str">
        <x:v>21day_watch_expired_no_response</x:v>
      </x:c>
      <x:c r="E34" s="19" t="str">
        <x:v>Ingen Z14/N har mottagits; verklig motpartstid känd eller bevakning märkt osäker.</x:v>
      </x:c>
      <x:c r="F34" s="19" t="str">
        <x:v>overdue_follow_up</x:v>
      </x:c>
      <x:c r="G34" s="19" t="str">
        <x:v>Skapa uppföljning utan eget positivt/negativt marknadsbeslut.</x:v>
      </x:c>
      <x:c r="H34" s="19" t="str">
        <x:v>Kontakt med DSO.</x:v>
      </x:c>
      <x:c r="I34" s="19" t="str">
        <x:v>Inte artificiellt godkännande eller ny Z13-loop.</x:v>
      </x:c>
      <x:c r="J34" s="19" t="str">
        <x:v>ESCO-06; OPS-02</x:v>
      </x:c>
      <x:c r="K34" s="19" t="str">
        <x:v>SYS tillståndsdesign; respektive refererad Ediel/Handbok-regel</x:v>
      </x:c>
    </x:row>
    <x:row r="35" ht="36.599998474121094" customHeight="1">
      <x:c r="A35" s="19" t="str">
        <x:v>ST-E07</x:v>
      </x:c>
      <x:c r="B35" s="19" t="str">
        <x:v>market_permission</x:v>
      </x:c>
      <x:c r="C35" s="19" t="str">
        <x:v>active</x:v>
      </x:c>
      <x:c r="D35" s="19" t="str">
        <x:v>valid_Z15V</x:v>
      </x:c>
      <x:c r="E35" s="19" t="str">
        <x:v>Känt tillstånd; giltig orsak/status/tid.</x:v>
      </x:c>
      <x:c r="F35" s="19" t="str">
        <x:v>ending_or_ended</x:v>
      </x:c>
      <x:c r="G35" s="19" t="str">
        <x:v>Versionera slut och återkalla berörd framtida distribution enligt rättighetsomfattning.</x:v>
      </x:c>
      <x:c r="H35" s="19" t="str">
        <x:v>Slut på rätt V-rapportering.</x:v>
      </x:c>
      <x:c r="I35" s="19" t="str">
        <x:v>DDQ-leverans och andra tillstånd påverkas inte.</x:v>
      </x:c>
      <x:c r="J35" s="19" t="str">
        <x:v>ESCO-07</x:v>
      </x:c>
      <x:c r="K35" s="19" t="str">
        <x:v>SYS tillståndsdesign; respektive refererad Ediel/Handbok-regel</x:v>
      </x:c>
    </x:row>
    <x:row r="36" ht="36.599998474121094" customHeight="1">
      <x:c r="A36" s="19" t="str">
        <x:v>ST-E08</x:v>
      </x:c>
      <x:c r="B36" s="19" t="str">
        <x:v>historical_delivery</x:v>
      </x:c>
      <x:c r="C36" s="19" t="str">
        <x:v>approved_or_receiving</x:v>
      </x:c>
      <x:c r="D36" s="19" t="str">
        <x:v>valid_Z15VH</x:v>
      </x:c>
      <x:c r="E36" s="19" t="str">
        <x:v>Rätt historikärende och tillstånd.</x:v>
      </x:c>
      <x:c r="F36" s="19" t="str">
        <x:v>historical_delivery_closed</x:v>
      </x:c>
      <x:c r="G36" s="19" t="str">
        <x:v>Markera historikslut; kontrollera faktisk periodtäckning separat.</x:v>
      </x:c>
      <x:c r="H36" s="19" t="str">
        <x:v>Eventuella saknade värden följs upp; inget nytt V-tillstånd.</x:v>
      </x:c>
      <x:c r="I36" s="19" t="str">
        <x:v>Anta inte att alla värden är fullständiga bara för att slutmeddelande mottagits.</x:v>
      </x:c>
      <x:c r="J36" s="19" t="str">
        <x:v>ESCO-07; U-10</x:v>
      </x:c>
      <x:c r="K36" s="19" t="str">
        <x:v>SYS tillståndsdesign; respektive refererad Ediel/Handbok-regel</x:v>
      </x:c>
    </x:row>
    <x:row r="37" ht="36.599998474121094" customHeight="1">
      <x:c r="A37" s="19" t="str">
        <x:v>ST-E09</x:v>
      </x:c>
      <x:c r="B37" s="19" t="str">
        <x:v>market_permission</x:v>
      </x:c>
      <x:c r="C37" s="19" t="str">
        <x:v>active</x:v>
      </x:c>
      <x:c r="D37" s="19" t="str">
        <x:v>submit_Z18V</x:v>
      </x:c>
      <x:c r="E37" s="19" t="str">
        <x:v>Behörigt avslut och samtliga berörda serviceberoenden granskade.</x:v>
      </x:c>
      <x:c r="F37" s="19" t="str">
        <x:v>termination_requested</x:v>
      </x:c>
      <x:c r="G37" s="19" t="str">
        <x:v>Skapa avslutsavsikt och tillämplig intern åtkomstbegränsning.</x:v>
      </x:c>
      <x:c r="H37" s="19" t="str">
        <x:v>Z15 och kvittenser.</x:v>
      </x:c>
      <x:c r="I37" s="19" t="str">
        <x:v>En beneficiarys uppsägning avslutar inte automatiskt allas tillstånd.</x:v>
      </x:c>
      <x:c r="J37" s="19" t="str">
        <x:v>ESCO-08; TEN-09</x:v>
      </x:c>
      <x:c r="K37" s="19" t="str">
        <x:v>SYS tillståndsdesign; respektive refererad Ediel/Handbok-regel</x:v>
      </x:c>
    </x:row>
    <x:row r="38" ht="36.599998474121094" customHeight="1">
      <x:c r="A38" s="19" t="str">
        <x:v>ST-E10</x:v>
      </x:c>
      <x:c r="B38" s="19" t="str">
        <x:v>market_permission</x:v>
      </x:c>
      <x:c r="C38" s="19" t="str">
        <x:v>ended</x:v>
      </x:c>
      <x:c r="D38" s="19" t="str">
        <x:v>valid_Z15C</x:v>
      </x:c>
      <x:c r="E38" s="19" t="str">
        <x:v>Rätt felaktigt upphörande återtas.</x:v>
      </x:c>
      <x:c r="F38" s="19" t="str">
        <x:v>restored</x:v>
      </x:c>
      <x:c r="G38" s="19" t="str">
        <x:v>Återställ marknadsrelationens giltighet med audit.</x:v>
      </x:c>
      <x:c r="H38" s="19" t="str">
        <x:v>Pröva downstream-grants på nytt.</x:v>
      </x:c>
      <x:c r="I38" s="19" t="str">
        <x:v>Återkallat servicegrant förblir återkallat om ingen ny behörig grund finns.</x:v>
      </x:c>
      <x:c r="J38" s="19" t="str">
        <x:v>ESCO-09; TEN-10</x:v>
      </x:c>
      <x:c r="K38" s="19" t="str">
        <x:v>SYS tillståndsdesign; respektive refererad Ediel/Handbok-regel</x:v>
      </x:c>
    </x:row>
    <x:row r="39" ht="36.599998474121094" customHeight="1">
      <x:c r="A39" s="19" t="str">
        <x:v>ST-G01</x:v>
      </x:c>
      <x:c r="B39" s="19" t="str">
        <x:v>service_assignment</x:v>
      </x:c>
      <x:c r="C39" s="19" t="str">
        <x:v>draft</x:v>
      </x:c>
      <x:c r="D39" s="19" t="str">
        <x:v>approve_assignment</x:v>
      </x:c>
      <x:c r="E39" s="19" t="str">
        <x:v>Provider, beneficiary, kund, ändamål, DSO och avtal är tydliga.</x:v>
      </x:c>
      <x:c r="F39" s="19" t="str">
        <x:v>approved_waiting_permission</x:v>
      </x:c>
      <x:c r="G39" s="19" t="str">
        <x:v>Lagra dokumentreferenser och begränsad scope.</x:v>
      </x:c>
      <x:c r="H39" s="19" t="str">
        <x:v>Koppla eller begär marknadstillstånd.</x:v>
      </x:c>
      <x:c r="I39" s="19" t="str">
        <x:v>Ingen läsbehörighet från tenantrelation ensam.</x:v>
      </x:c>
      <x:c r="J39" s="19" t="str">
        <x:v>TEN-03; TEN-14</x:v>
      </x:c>
      <x:c r="K39" s="19" t="str">
        <x:v>SYS tillståndsdesign; respektive refererad Ediel/Handbok-regel</x:v>
      </x:c>
    </x:row>
    <x:row r="40" ht="36.599998474121094" customHeight="1">
      <x:c r="A40" s="19" t="str">
        <x:v>ST-G02</x:v>
      </x:c>
      <x:c r="B40" s="19" t="str">
        <x:v>data_access_grant</x:v>
      </x:c>
      <x:c r="C40" s="19" t="str">
        <x:v>proposed</x:v>
      </x:c>
      <x:c r="D40" s="19" t="str">
        <x:v>publish_access</x:v>
      </x:c>
      <x:c r="E40" s="19" t="str">
        <x:v>Aktivt kompatibelt uppdrag och market_permission plus tillåten dataanvändning.</x:v>
      </x:c>
      <x:c r="F40" s="19" t="str">
        <x:v>active</x:v>
      </x:c>
      <x:c r="G40" s="19" t="str">
        <x:v>Skapa explicit objekt/produkt/period/fält/purpose-grant till beneficiary.</x:v>
      </x:c>
      <x:c r="H40" s="19" t="str">
        <x:v>Filtrerade läsningar/exporter/projektioner.</x:v>
      </x:c>
      <x:c r="I40" s="19" t="str">
        <x:v>Avvisa med behörighetsfel utan marknadsmeddelande.</x:v>
      </x:c>
      <x:c r="J40" s="19" t="str">
        <x:v>TEN-08</x:v>
      </x:c>
      <x:c r="K40" s="19" t="str">
        <x:v>SYS tillståndsdesign; respektive refererad Ediel/Handbok-regel</x:v>
      </x:c>
    </x:row>
    <x:row r="41" ht="36.599998474121094" customHeight="1">
      <x:c r="A41" s="19" t="str">
        <x:v>ST-G03</x:v>
      </x:c>
      <x:c r="B41" s="19" t="str">
        <x:v>data_access_grant</x:v>
      </x:c>
      <x:c r="C41" s="19" t="str">
        <x:v>active</x:v>
      </x:c>
      <x:c r="D41" s="19" t="str">
        <x:v>beneficiary_assignment_ended</x:v>
      </x:c>
      <x:c r="E41" s="19" t="str">
        <x:v>Rätt uppdrag upphör.</x:v>
      </x:c>
      <x:c r="F41" s="19" t="str">
        <x:v>revoked_or_bounded</x:v>
      </x:c>
      <x:c r="G41" s="19" t="str">
        <x:v>Stoppa tillgång enligt mandatet; invalidate cache/exportjobb.</x:v>
      </x:c>
      <x:c r="H41" s="19" t="str">
        <x:v>Bedöm om marknadstillstånd fortfarande behövs för andra uppdrag.</x:v>
      </x:c>
      <x:c r="I41" s="19" t="str">
        <x:v>Skicka inte Z18 automatiskt före beroendekontroll.</x:v>
      </x:c>
      <x:c r="J41" s="19" t="str">
        <x:v>TEN-09; TEN-10</x:v>
      </x:c>
      <x:c r="K41" s="19" t="str">
        <x:v>SYS tillståndsdesign; respektive refererad Ediel/Handbok-regel</x:v>
      </x:c>
    </x:row>
    <x:row r="42" ht="36.599998474121094" customHeight="1">
      <x:c r="A42" s="19" t="str">
        <x:v>ST-U01</x:v>
      </x:c>
      <x:c r="B42" s="19" t="str">
        <x:v>utilts_transaction</x:v>
      </x:c>
      <x:c r="C42" s="19" t="str">
        <x:v>received</x:v>
      </x:c>
      <x:c r="D42" s="19" t="str">
        <x:v>guide_failed</x:v>
      </x:c>
      <x:c r="E42" s="19" t="str">
        <x:v>Syntax godkänd men guidekontroll på transaktionen fel.</x:v>
      </x:c>
      <x:c r="F42" s="19" t="str">
        <x:v>guide_rejected</x:v>
      </x:c>
      <x:c r="G42" s="19" t="str">
        <x:v>Spara diagnos och negativ AP-avsikt för rätt IDE.</x:v>
      </x:c>
      <x:c r="H42" s="19" t="str">
        <x:v>U-APERAK313/41 eller42; syskon fortsätter.</x:v>
      </x:c>
      <x:c r="I42" s="19" t="str">
        <x:v>Ingen funktionskontroll på samma felaktiga transaktion.</x:v>
      </x:c>
      <x:c r="J42" s="19" t="str">
        <x:v>U-03</x:v>
      </x:c>
      <x:c r="K42" s="19" t="str">
        <x:v>SYS tillståndsdesign; respektive refererad Ediel/Handbok-regel</x:v>
      </x:c>
    </x:row>
    <x:row r="43" ht="36.599998474121094" customHeight="1">
      <x:c r="A43" s="19" t="str">
        <x:v>ST-U02</x:v>
      </x:c>
      <x:c r="B43" s="19" t="str">
        <x:v>utilts_transaction</x:v>
      </x:c>
      <x:c r="C43" s="19" t="str">
        <x:v>guide_accepted</x:v>
      </x:c>
      <x:c r="D43" s="19" t="str">
        <x:v>functional_failed</x:v>
      </x:c>
      <x:c r="E43" s="19" t="str">
        <x:v>Tillämpliga funktioner har kontrollerats med giltig struktur/behörighet.</x:v>
      </x:c>
      <x:c r="F43" s="19" t="str">
        <x:v>processability_rejected</x:v>
      </x:c>
      <x:c r="G43" s="19" t="str">
        <x:v>Spara ERR-avsikt och korrekt källkod/referenser.</x:v>
      </x:c>
      <x:c r="H43" s="19" t="str">
        <x:v>UTILTS-ERR.</x:v>
      </x:c>
      <x:c r="I43" s="19" t="str">
        <x:v>Använd inte egen saknad tenantkonfig som godtyckligt E10.</x:v>
      </x:c>
      <x:c r="J43" s="19" t="str">
        <x:v>U-03; TEN-11</x:v>
      </x:c>
      <x:c r="K43" s="19" t="str">
        <x:v>SYS tillståndsdesign; respektive refererad Ediel/Handbok-regel</x:v>
      </x:c>
    </x:row>
    <x:row r="44" ht="36.599998474121094" customHeight="1">
      <x:c r="A44" s="19" t="str">
        <x:v>ST-U03</x:v>
      </x:c>
      <x:c r="B44" s="19" t="str">
        <x:v>utilts_transaction</x:v>
      </x:c>
      <x:c r="C44" s="19" t="str">
        <x:v>functional_accepted</x:v>
      </x:c>
      <x:c r="D44" s="19" t="str">
        <x:v>commit_measurement</x:v>
      </x:c>
      <x:c r="E44" s="19" t="str">
        <x:v>Tillåtna data och scoped relation finns.</x:v>
      </x:c>
      <x:c r="F44" s="19" t="str">
        <x:v>stored_ack_pending</x:v>
      </x:c>
      <x:c r="G44" s="19" t="str">
        <x:v>Atomärt lagra version, disposition och positiv AP-intent.</x:v>
      </x:c>
      <x:c r="H44" s="19" t="str">
        <x:v>U-APERAK312/100 och tillåtna interna projektioner.</x:v>
      </x:c>
      <x:c r="I44" s="19" t="str">
        <x:v>DBfel ger ingen falsk positiv kvittens.</x:v>
      </x:c>
      <x:c r="J44" s="19" t="str">
        <x:v>U-14</x:v>
      </x:c>
      <x:c r="K44" s="19" t="str">
        <x:v>SYS tillståndsdesign; respektive refererad Ediel/Handbok-regel</x:v>
      </x:c>
    </x:row>
    <x:row r="45" ht="36.599998474121094" customHeight="1">
      <x:c r="A45" s="19" t="str">
        <x:v>ST-U04</x:v>
      </x:c>
      <x:c r="B45" s="19" t="str">
        <x:v>utilts_transaction</x:v>
      </x:c>
      <x:c r="C45" s="19" t="str">
        <x:v>functional_accepted</x:v>
      </x:c>
      <x:c r="D45" s="19" t="str">
        <x:v>older_valid_revision</x:v>
      </x:c>
      <x:c r="E45" s="19" t="str">
        <x:v>512/532 visar äldre data; inga andra fel.</x:v>
      </x:c>
      <x:c r="F45" s="19" t="str">
        <x:v>accepted_older_revision</x:v>
      </x:c>
      <x:c r="G45" s="19" t="str">
        <x:v>Registrera accepterad äldre version/bevis utan att ersätta nyare.</x:v>
      </x:c>
      <x:c r="H45" s="19" t="str">
        <x:v>Positiv APERAK; ingen osynlig fakturaändring.</x:v>
      </x:c>
      <x:c r="I45" s="19" t="str">
        <x:v>Ankomstordning ensam ska inte ge ERR.</x:v>
      </x:c>
      <x:c r="J45" s="19" t="str">
        <x:v>U-04</x:v>
      </x:c>
      <x:c r="K45" s="19" t="str">
        <x:v>SYS tillståndsdesign; respektive refererad Ediel/Handbok-regel</x:v>
      </x:c>
    </x:row>
    <x:row r="46" ht="36.599998474121094" customHeight="1">
      <x:c r="A46" s="19" t="str">
        <x:v>ST-I01</x:v>
      </x:c>
      <x:c r="B46" s="19" t="str">
        <x:v>ai_reconciliation</x:v>
      </x:c>
      <x:c r="C46" s="19" t="str">
        <x:v>imported</x:v>
      </x:c>
      <x:c r="D46" s="19" t="str">
        <x:v>difference_detected</x:v>
      </x:c>
      <x:c r="E46" s="19" t="str">
        <x:v>Rätt avsändare/mottagare/period och format.</x:v>
      </x:c>
      <x:c r="F46" s="19" t="str">
        <x:v>requires_investigation</x:v>
      </x:c>
      <x:c r="G46" s="19" t="str">
        <x:v>Spara avvikelse och råkällreferens.</x:v>
      </x:c>
      <x:c r="H46" s="19" t="str">
        <x:v>Behörig utredning; separat beslutad mutation.</x:v>
      </x:c>
      <x:c r="I46" s="19" t="str">
        <x:v>Ingen automatisk uppdatering av grunddata.</x:v>
      </x:c>
      <x:c r="J46" s="19" t="str">
        <x:v>AI-04</x:v>
      </x:c>
      <x:c r="K46" s="19" t="str">
        <x:v>SYS tillståndsdesign; respektive refererad Ediel/Handbok-regel</x:v>
      </x:c>
    </x:row>
  </x:sheetData>
  <x:mergeCells>
    <x:mergeCell ref="A1:K1"/>
    <x:mergeCell ref="A2:K2"/>
  </x:mergeCells>
  <x:pageMargins left="0.7" right="0.7" top="0.75" bottom="0.75" header="0.3" footer="0.3"/>
  <x:tableParts count="1">
    <x:tablePart xmlns:r="http://schemas.openxmlformats.org/officeDocument/2006/relationships" r:id="R9095e7e8f1254d0f"/>
  </x:tableParts>
</x:worksheet>
</file>

<file path=xl/worksheets/sheet13.xml><?xml version="1.0" encoding="utf-8"?>
<x:worksheet xmlns:x="http://schemas.openxmlformats.org/spreadsheetml/2006/main">
  <x:sheetFormatPr defaultRowHeight="15"/>
  <x:cols>
    <x:col min="1" max="1" width="17" hidden="0" customWidth="1"/>
    <x:col min="2" max="2" width="34" hidden="0" customWidth="1"/>
    <x:col min="3" max="3" width="49" hidden="0" customWidth="1"/>
    <x:col min="4" max="4" width="50" hidden="0" customWidth="1"/>
    <x:col min="5" max="5" width="50" hidden="0" customWidth="1"/>
    <x:col min="6" max="6" width="34" hidden="0" customWidth="1"/>
    <x:col min="7" max="7" width="59" hidden="0" customWidth="1"/>
  </x:cols>
  <x:sheetData>
    <x:row r="1" ht="30" customHeight="1">
      <x:c r="A1" s="3" t="str">
        <x:v>Anropsordning · Gridex Ediel v2</x:v>
      </x:c>
      <x:c r="B1" s="3"/>
      <x:c r="C1" s="3"/>
      <x:c r="D1" s="3"/>
      <x:c r="E1" s="3"/>
      <x:c r="F1" s="3"/>
      <x:c r="G1" s="3"/>
    </x:row>
    <x:row r="2" ht="34" customHeight="1">
      <x:c r="A2" s="8" t="str">
        <x:v>16 ingångar till en gemensam besluts- och verkställighetskedja. Föreslagna delar är märkta.</x:v>
      </x:c>
      <x:c r="B2" s="8"/>
      <x:c r="C2" s="8"/>
      <x:c r="D2" s="8"/>
      <x:c r="E2" s="8"/>
      <x:c r="F2" s="8"/>
      <x:c r="G2" s="8"/>
    </x:row>
    <x:row r="4" ht="37" customHeight="1">
      <x:c r="A4" s="14" t="str">
        <x:v>Anrop</x:v>
      </x:c>
      <x:c r="B4" s="14" t="str">
        <x:v>Ingång</x:v>
      </x:c>
      <x:c r="C4" s="14" t="str">
        <x:v>Befintlig ansvarig del</x:v>
      </x:c>
      <x:c r="D4" s="14" t="str">
        <x:v>Målkontrakt</x:v>
      </x:c>
      <x:c r="E4" s="14" t="str">
        <x:v>Utdata</x:v>
      </x:c>
      <x:c r="F4" s="14" t="str">
        <x:v>Regel-id</x:v>
      </x:c>
      <x:c r="G4" s="14" t="str">
        <x:v>Får inte göra</x:v>
      </x:c>
    </x:row>
    <x:row r="5" ht="36.599998474121094" customHeight="1">
      <x:c r="A5" s="19" t="str">
        <x:v>CALL-01</x:v>
      </x:c>
      <x:c r="B5" s="19" t="str">
        <x:v>UI/API/manual action</x:v>
      </x:c>
      <x:c r="C5" s="19" t="str">
        <x:v>app/admin/* + kund/API-actions</x:v>
      </x:c>
      <x:c r="D5" s="19" t="str">
        <x:v>Ediel command service (gemensam, föreslagen)</x:v>
      </x:c>
      <x:c r="E5" s="19" t="str">
        <x:v>Auktoriserat command + processavsikt</x:v>
      </x:c>
      <x:c r="F5" s="19" t="str">
        <x:v>TEN-01; TEN-03; TEN-14</x:v>
      </x:c>
      <x:c r="G5" s="19" t="str">
        <x:v>UI får inte direkt bygga EDIFACT eller ändra affärsstatus.</x:v>
      </x:c>
    </x:row>
    <x:row r="6" ht="36.599998474121094" customHeight="1">
      <x:c r="A6" s="19" t="str">
        <x:v>CALL-02</x:v>
      </x:c>
      <x:c r="B6" s="19" t="str">
        <x:v>Affärsprocess</x:v>
      </x:c>
      <x:c r="C6" s="19" t="str">
        <x:v>prodatLifecycle / inboundBusinessStateMachine</x:v>
      </x:c>
      <x:c r="D6" s="19" t="str">
        <x:v>Processbeslut + resolveCanonicalEdielPolicy</x:v>
      </x:c>
      <x:c r="E6" s="19" t="str">
        <x:v>Rätt aktörsroll, meddelandevariant, mutationsplan och nästa åtgärd</x:v>
      </x:c>
      <x:c r="F6" s="19" t="str">
        <x:v>P-10; P-11; ESCO-01</x:v>
      </x:c>
      <x:c r="G6" s="19" t="str">
        <x:v>Behåll P-/ESCO-processer separata.</x:v>
      </x:c>
    </x:row>
    <x:row r="7" ht="36.599998474121094" customHeight="1">
      <x:c r="A7" s="19" t="str">
        <x:v>CALL-03</x:v>
      </x:c>
      <x:c r="B7" s="19" t="str">
        <x:v>Render</x:v>
      </x:c>
      <x:c r="C7" s="19" t="str">
        <x:v>prodat/builders/profileRenderer.ts + z09/z13</x:v>
      </x:c>
      <x:c r="D7" s="19" t="str">
        <x:v>Publicerad fältprofil + explicit execution decision</x:v>
      </x:c>
      <x:c r="E7" s="19" t="str">
        <x:v>Positionsstabil segmentstruktur</x:v>
      </x:c>
      <x:c r="F7" s="19" t="str">
        <x:v>P-01; P-07; ENV-02</x:v>
      </x:c>
      <x:c r="G7" s="19" t="str">
        <x:v>Render får inte omvälja roll, datumversion eller field matrix.</x:v>
      </x:c>
    </x:row>
    <x:row r="8" ht="32" customHeight="1">
      <x:c r="A8" s="19" t="str">
        <x:v>CALL-04</x:v>
      </x:c>
      <x:c r="B8" s="19" t="str">
        <x:v>Kuvert</x:v>
      </x:c>
      <x:c r="C8" s="19" t="str">
        <x:v>core/edifactEnvelopeCodec.ts</x:v>
      </x:c>
      <x:c r="D8" s="19" t="str">
        <x:v>Teknisk kvittens- och kuvertprofil</x:v>
      </x:c>
      <x:c r="E8" s="19" t="str">
        <x:v>UNB/UNH/UNT/UNZ och byteprofil</x:v>
      </x:c>
      <x:c r="F8" s="19" t="str">
        <x:v>ENV-03; ENV-04; ENV-05</x:v>
      </x:c>
      <x:c r="G8" s="19" t="str">
        <x:v>0031 ska komma från samma beslut som bevakningen.</x:v>
      </x:c>
    </x:row>
    <x:row r="9" ht="36.599998474121094" customHeight="1">
      <x:c r="A9" s="19" t="str">
        <x:v>CALL-05</x:v>
      </x:c>
      <x:c r="B9" s="19" t="str">
        <x:v>Register</x:v>
      </x:c>
      <x:c r="C9" s="19" t="str">
        <x:v>parseActorRegistryXml.ts och admin/ediel/actors/actions.ts</x:v>
      </x:c>
      <x:c r="D9" s="19" t="str">
        <x:v>En gemensam importkärna med formatadaptrar</x:v>
      </x:c>
      <x:c r="E9" s="19" t="str">
        <x:v>Typed market actor/role/route snapshots</x:v>
      </x:c>
      <x:c r="F9" s="19" t="str">
        <x:v>IMP-01; IMP-02; IMP-03</x:v>
      </x:c>
      <x:c r="G9" s="19" t="str">
        <x:v>Avveckla dubbel auktoritet först efter paritetsbevis.</x:v>
      </x:c>
    </x:row>
    <x:row r="10" ht="36.599998474121094" customHeight="1">
      <x:c r="A10" s="19" t="str">
        <x:v>CALL-06</x:v>
      </x:c>
      <x:c r="B10" s="19" t="str">
        <x:v>Pre-send</x:v>
      </x:c>
      <x:c r="C10" s="19" t="str">
        <x:v>core/kernel.ts / outbound pipeline</x:v>
      </x:c>
      <x:c r="D10" s="19" t="str">
        <x:v>Revalidate execution + route/cert security</x:v>
      </x:c>
      <x:c r="E10" s="19" t="str">
        <x:v>Aktuellt sändningsbeslut och immutabel payload</x:v>
      </x:c>
      <x:c r="F10" s="19" t="str">
        <x:v>GOV-04; TR-06; OPS-01</x:v>
      </x:c>
      <x:c r="G10" s="19" t="str">
        <x:v>Mode catalog_evidence eller historical_replay får aldrig skicka.</x:v>
      </x:c>
    </x:row>
    <x:row r="11" ht="32" customHeight="1">
      <x:c r="A11" s="19" t="str">
        <x:v>CALL-07</x:v>
      </x:c>
      <x:c r="B11" s="19" t="str">
        <x:v>SMTP</x:v>
      </x:c>
      <x:c r="C11" s="19" t="str">
        <x:v>lib/email/sendEdielEmail.ts</x:v>
      </x:c>
      <x:c r="D11" s="19" t="str">
        <x:v>Transport attempt service</x:v>
      </x:c>
      <x:c r="E11" s="19" t="str">
        <x:v>Observerat försök, ej affärsacceptans</x:v>
      </x:c>
      <x:c r="F11" s="19" t="str">
        <x:v>TR-02; TR-03; TR-10</x:v>
      </x:c>
      <x:c r="G11" s="19" t="str">
        <x:v>SMTP-ledger skiljs från APERAK- och processledger.</x:v>
      </x:c>
    </x:row>
    <x:row r="12" ht="32" customHeight="1">
      <x:c r="A12" s="19" t="str">
        <x:v>CALL-08</x:v>
      </x:c>
      <x:c r="B12" s="19" t="str">
        <x:v>Inkommande mail</x:v>
      </x:c>
      <x:c r="C12" s="19" t="str">
        <x:v>lib/inbound-mail/*</x:v>
      </x:c>
      <x:c r="D12" s="19" t="str">
        <x:v>MIME/DSN/AI/EDIFACT classifier</x:v>
      </x:c>
      <x:c r="E12" s="19" t="str">
        <x:v>Säker format- och mottagningskontext</x:v>
      </x:c>
      <x:c r="F12" s="19" t="str">
        <x:v>TR-04; TEN-06; AI-01</x:v>
      </x:c>
      <x:c r="G12" s="19" t="str">
        <x:v>DSN identifieras före extraktion av inbäddad EDIFACT.</x:v>
      </x:c>
    </x:row>
    <x:row r="13" ht="36.599998474121094" customHeight="1">
      <x:c r="A13" s="19" t="str">
        <x:v>CALL-09</x:v>
      </x:c>
      <x:c r="B13" s="19" t="str">
        <x:v>Parser</x:v>
      </x:c>
      <x:c r="C13" s="19" t="str">
        <x:v>core/canonicalEdifactAst.ts + tokenizer</x:v>
      </x:c>
      <x:c r="D13" s="19" t="str">
        <x:v>Full grammar + immutable raw record</x:v>
      </x:c>
      <x:c r="E13" s="19" t="str">
        <x:v>Message/line/register/transaction/observation AST</x:v>
      </x:c>
      <x:c r="F13" s="19" t="str">
        <x:v>ENV-02; ENV-09; U-02</x:v>
      </x:c>
      <x:c r="G13" s="19" t="str">
        <x:v>Ingen första-träff som generell auktoritet.</x:v>
      </x:c>
    </x:row>
    <x:row r="14" ht="36.599998474121094" customHeight="1">
      <x:c r="A14" s="19" t="str">
        <x:v>CALL-10</x:v>
      </x:c>
      <x:c r="B14" s="19" t="str">
        <x:v>Nationell P-kontroll</x:v>
      </x:c>
      <x:c r="C14" s="19" t="str">
        <x:v>core/runtimeDecision.ts</x:v>
      </x:c>
      <x:c r="D14" s="19" t="str">
        <x:v>resolveCanonicalEdielPolicy + field/group/reg selectors</x:v>
      </x:c>
      <x:c r="E14" s="19" t="str">
        <x:v>Objektvisa utfall med riktiga fältreferenser</x:v>
      </x:c>
      <x:c r="F14" s="19" t="str">
        <x:v>GOV-02; P-01; P-02</x:v>
      </x:c>
      <x:c r="G14" s="19" t="str">
        <x:v>Borttagna fel måste rättas i källan, inte döljas i gate.</x:v>
      </x:c>
    </x:row>
    <x:row r="15" ht="36.599998474121094" customHeight="1">
      <x:c r="A15" s="19" t="str">
        <x:v>CALL-11</x:v>
      </x:c>
      <x:c r="B15" s="19" t="str">
        <x:v>Nationell U-kontroll</x:v>
      </x:c>
      <x:c r="C15" s="19" t="str">
        <x:v>utiltsEngine.ts / utiltsInboundPolicyProcessor</x:v>
      </x:c>
      <x:c r="D15" s="19" t="str">
        <x:v>Explicit shared rule selection + staged validation</x:v>
      </x:c>
      <x:c r="E15" s="19" t="str">
        <x:v>Headerresultat + per-IDE dispositions</x:v>
      </x:c>
      <x:c r="F15" s="19" t="str">
        <x:v>GOV-06; U-03; ACK-08</x:v>
      </x:c>
      <x:c r="G15" s="19" t="str">
        <x:v>Förmedla versionsbeslut, kör inte nytt now()-baserat policyval.</x:v>
      </x:c>
    </x:row>
    <x:row r="16" ht="32" customHeight="1">
      <x:c r="A16" s="19" t="str">
        <x:v>CALL-12</x:v>
      </x:c>
      <x:c r="B16" s="19" t="str">
        <x:v>ACK</x:v>
      </x:c>
      <x:c r="C16" s="19" t="str">
        <x:v>ack/canonicalAckEngine.ts + builders</x:v>
      </x:c>
      <x:c r="D16" s="19" t="str">
        <x:v>Originalfamilj + disposition + korrelation</x:v>
      </x:c>
      <x:c r="E16" s="19" t="str">
        <x:v>CONTRL/P-AP/U-AP/ERR på rätt nivå</x:v>
      </x:c>
      <x:c r="F16" s="19" t="str">
        <x:v>ACK-01; ACK-02; ACK-03; ACK-05</x:v>
      </x:c>
      <x:c r="G16" s="19" t="str">
        <x:v>Kvittensfamilj väljs inte från tenantdefault.</x:v>
      </x:c>
    </x:row>
    <x:row r="17" ht="36.599998474121094" customHeight="1">
      <x:c r="A17" s="19" t="str">
        <x:v>CALL-13</x:v>
      </x:c>
      <x:c r="B17" s="19" t="str">
        <x:v>Affärsmutation</x:v>
      </x:c>
      <x:c r="C17" s="19" t="str">
        <x:v>Leverans-/kundinfo-/tillstånds-RPC</x:v>
      </x:c>
      <x:c r="D17" s="19" t="str">
        <x:v>Validated mutation plan + DB guards</x:v>
      </x:c>
      <x:c r="E17" s="19" t="str">
        <x:v>Atomisk mutation, händelse, outbox</x:v>
      </x:c>
      <x:c r="F17" s="19" t="str">
        <x:v>DB-02; U-14; TEN-12</x:v>
      </x:c>
      <x:c r="G17" s="19" t="str">
        <x:v>Inga trustade client-provided tenant-id utan rättighetskontroll.</x:v>
      </x:c>
    </x:row>
    <x:row r="18" ht="32" customHeight="1">
      <x:c r="A18" s="19" t="str">
        <x:v>CALL-14</x:v>
      </x:c>
      <x:c r="B18" s="19" t="str">
        <x:v>Intern distribution</x:v>
      </x:c>
      <x:c r="C18" s="19" t="str">
        <x:v>ESCO data-access service (föreslagen)</x:v>
      </x:c>
      <x:c r="D18" s="19" t="str">
        <x:v>Market permission + service assignment + grant</x:v>
      </x:c>
      <x:c r="E18" s="19" t="str">
        <x:v>Objekt-/period-/fältbegränsad projektion</x:v>
      </x:c>
      <x:c r="F18" s="19" t="str">
        <x:v>TEN-07; TEN-08; TEN-10</x:v>
      </x:c>
      <x:c r="G18" s="19" t="str">
        <x:v>Råfilen exponeras inte för varje beneficiary.</x:v>
      </x:c>
    </x:row>
    <x:row r="19" ht="32" customHeight="1">
      <x:c r="A19" s="19" t="str">
        <x:v>CALL-15</x:v>
      </x:c>
      <x:c r="B19" s="19" t="str">
        <x:v>Timers/retry</x:v>
      </x:c>
      <x:c r="C19" s="19" t="str">
        <x:v>deadlinePolicy + scheduled workers</x:v>
      </x:c>
      <x:c r="D19" s="19" t="str">
        <x:v>Rule-specific timer policy + process state</x:v>
      </x:c>
      <x:c r="E19" s="19" t="str">
        <x:v>Bevakning, kontakt eller tillåten rättelse</x:v>
      </x:c>
      <x:c r="F19" s="19" t="str">
        <x:v>TR-05; OPS-02; GOV-04</x:v>
      </x:c>
      <x:c r="G19" s="19" t="str">
        <x:v>Ingen generell timeout→resend→active-kedja.</x:v>
      </x:c>
    </x:row>
    <x:row r="20" ht="36.599998474121094" customHeight="1">
      <x:c r="A20" s="19" t="str">
        <x:v>CALL-16</x:v>
      </x:c>
      <x:c r="B20" s="19" t="str">
        <x:v>Readiness/release</x:v>
      </x:c>
      <x:c r="C20" s="19" t="str">
        <x:v>Tenant readiness + CI/release</x:v>
      </x:c>
      <x:c r="D20" s="19" t="str">
        <x:v>Dependency-scoped evidence</x:v>
      </x:c>
      <x:c r="E20" s="19" t="str">
        <x:v>Ett nytt versionslåst bevis per berörd scope</x:v>
      </x:c>
      <x:c r="F20" s="19" t="str">
        <x:v>OPS-01; OPS-03</x:v>
      </x:c>
      <x:c r="G20" s="19" t="str">
        <x:v>Gamla sändningar reprocessas inte automatiskt vid regeländring.</x:v>
      </x:c>
    </x:row>
  </x:sheetData>
  <x:mergeCells>
    <x:mergeCell ref="A1:G1"/>
    <x:mergeCell ref="A2:G2"/>
  </x:mergeCells>
  <x:pageMargins left="0.7" right="0.7" top="0.75" bottom="0.75" header="0.3" footer="0.3"/>
  <x:tableParts count="1">
    <x:tablePart xmlns:r="http://schemas.openxmlformats.org/officeDocument/2006/relationships" r:id="R141031cf3a6e44a5"/>
  </x:tableParts>
</x:worksheet>
</file>

<file path=xl/worksheets/sheet14.xml><?xml version="1.0" encoding="utf-8"?>
<x:worksheet xmlns:x="http://schemas.openxmlformats.org/spreadsheetml/2006/main">
  <x:sheetFormatPr defaultRowHeight="15"/>
  <x:cols>
    <x:col min="1" max="1" width="34" hidden="0" customWidth="1"/>
    <x:col min="2" max="2" width="85" hidden="0" customWidth="1"/>
    <x:col min="3" max="3" width="65" hidden="0" customWidth="1"/>
    <x:col min="4" max="4" width="78" hidden="0" customWidth="1"/>
  </x:cols>
  <x:sheetData>
    <x:row r="1" ht="30" customHeight="1">
      <x:c r="A1" s="3" t="str">
        <x:v>Datamodell · Gridex Ediel v2</x:v>
      </x:c>
      <x:c r="B1" s="3"/>
      <x:c r="C1" s="3"/>
      <x:c r="D1" s="3"/>
    </x:row>
    <x:row r="2" ht="34" customHeight="1">
      <x:c r="A2" s="8" t="str">
        <x:v>17 koncept. Återanvänd befintliga auktoritativa tabeller; detta är inte en migration att applicera direkt.</x:v>
      </x:c>
      <x:c r="B2" s="8"/>
      <x:c r="C2" s="8"/>
      <x:c r="D2" s="8"/>
    </x:row>
    <x:row r="4" ht="37" customHeight="1">
      <x:c r="A4" s="14" t="str">
        <x:v>Begrepp</x:v>
      </x:c>
      <x:c r="B4" s="14" t="str">
        <x:v>Minsta nödvändiga fält</x:v>
      </x:c>
      <x:c r="C4" s="14" t="str">
        <x:v>Betydelse</x:v>
      </x:c>
      <x:c r="D4" s="14" t="str">
        <x:v>Krav / begränsning</x:v>
      </x:c>
    </x:row>
    <x:row r="5" ht="36.599998474121094" customHeight="1">
      <x:c r="A5" s="19" t="str">
        <x:v>tenant</x:v>
      </x:c>
      <x:c r="B5" s="19" t="str">
        <x:v>id, status, isolation_policy_version</x:v>
      </x:c>
      <x:c r="C5" s="19" t="str">
        <x:v>Organisatorisk datagräns. Inte automatiskt marknadsaktör.</x:v>
      </x:c>
      <x:c r="D5" s="19" t="str">
        <x:v>Återanvänd companies/tenantmodell; förhindra implicit åtkomst från gemensam koncern.</x:v>
      </x:c>
    </x:row>
    <x:row r="6" ht="32" customHeight="1">
      <x:c r="A6" s="19" t="str">
        <x:v>legal_market_actor</x:v>
      </x:c>
      <x:c r="B6" s="19" t="str">
        <x:v>id, market, country, ediel_id, identifiers, roles, validity</x:v>
      </x:c>
      <x:c r="C6" s="19" t="str">
        <x:v>Juridisk marknadsidentitet med historik.</x:v>
      </x:c>
      <x:c r="D6" s="19" t="str">
        <x:v>Återanvänd platform_market_actors/identifiers; ej unik enbart på orgnr.</x:v>
      </x:c>
    </x:row>
    <x:row r="7" ht="32" customHeight="1">
      <x:c r="A7" s="19" t="str">
        <x:v>actor_profile</x:v>
      </x:c>
      <x:c r="B7" s="19" t="str">
        <x:v>id, owner_tenant_id, legal_actor_id, role, market, environment, capability_version</x:v>
      </x:c>
      <x:c r="C7" s="19" t="str">
        <x:v>Aktör i viss verksamhetsroll och miljö.</x:v>
      </x:c>
      <x:c r="D7" s="19" t="str">
        <x:v>DDQ/DGI separata profiler; transportadressen kan vara gemensam.</x:v>
      </x:c>
    </x:row>
    <x:row r="8" ht="36.599998474121094" customHeight="1">
      <x:c r="A8" s="19" t="str">
        <x:v>technical_route_snapshot</x:v>
      </x:c>
      <x:c r="B8" s="19" t="str">
        <x:v>id, actor/profile ref, technical_party_id, qualifier, legal_party_id, subaddress, message_family, smtp_address, source_hash, validity</x:v>
      </x:c>
      <x:c r="C8" s="19" t="str">
        <x:v>Teknisk adressering separerad från juridisk aktör.</x:v>
      </x:c>
      <x:c r="D8" s="19" t="str">
        <x:v>Återanvänd ruttmodellen; bevara null subaddress och EL/GAS. S/MIME-scope separat.</x:v>
      </x:c>
    </x:row>
    <x:row r="9" ht="36.599998474121094" customHeight="1">
      <x:c r="A9" s="19" t="str">
        <x:v>service_assignment</x:v>
      </x:c>
      <x:c r="B9" s="19" t="str">
        <x:v>id, operating_tenant_id, provider_actor_profile_id, beneficiary_tenant_id, end_user_ref, dso_actor_id, purpose, scope, contract_evidence_ids, validity, status</x:v>
      </x:c>
      <x:c r="C9" s="19" t="str">
        <x:v>Gridex/annan provider utför specificerat ESCO-uppdrag för annan tenant.</x:v>
      </x:c>
      <x:c r="D9" s="19" t="str">
        <x:v>Explicit kors-tenantrelation. Beneficiary får inte själv tilldela sig providerbehörighet.</x:v>
      </x:c>
    </x:row>
    <x:row r="10" ht="36.599998474121094" customHeight="1">
      <x:c r="A10" s="19" t="str">
        <x:v>market_permission</x:v>
      </x:c>
      <x:c r="B10" s="19" t="str">
        <x:v>id, owner_tenant_id, esco_actor_profile_id, dso_actor_id, external_permission_id, customer_ref, mode, state, start_at, end_at, grant_created_at, source_z14_id</x:v>
      </x:c>
      <x:c r="C10" s="19" t="str">
        <x:v>Marknadens tillstånd, skilt från internt uppdrag.</x:v>
      </x:c>
      <x:c r="D10" s="19" t="str">
        <x:v>Verifiera befintliga tillståndstabeller före ny schemaentitet; externt id namnrymdssätts med aktör/DSO/miljö.</x:v>
      </x:c>
    </x:row>
    <x:row r="11" ht="36.599998474121094" customHeight="1">
      <x:c r="A11" s="19" t="str">
        <x:v>permission_object</x:v>
      </x:c>
      <x:c r="B11" s="19" t="str">
        <x:v>permission_id, metering_identity_id, direction, energy_product, resolution, reporting_schedule, period, source_message/line</x:v>
      </x:c>
      <x:c r="C11" s="19" t="str">
        <x:v>Vilka anläggningar och data som faktiskt omfattas.</x:v>
      </x:c>
      <x:c r="D11" s="19" t="str">
        <x:v>Ingen automatisk utvidgning till alla objekt som en kund råkar äga.</x:v>
      </x:c>
    </x:row>
    <x:row r="12" ht="36.599998474121094" customHeight="1">
      <x:c r="A12" s="19" t="str">
        <x:v>assignment_permission_link</x:v>
      </x:c>
      <x:c r="B12" s="19" t="str">
        <x:v>assignment_id, permission_id, authorized_scope, evidence_id, validity</x:v>
      </x:c>
      <x:c r="C12" s="19" t="str">
        <x:v>Explicit många-till-många-koppling där samma giltiga tillstånd kan stödja flera tillåtna serviceuppdrag.</x:v>
      </x:c>
      <x:c r="D12" s="19" t="str">
        <x:v>Samordna slut: ett uppdrag upphör inte automatiskt för alla andra.</x:v>
      </x:c>
    </x:row>
    <x:row r="13" ht="36.599998474121094" customHeight="1">
      <x:c r="A13" s="19" t="str">
        <x:v>data_access_grant</x:v>
      </x:c>
      <x:c r="B13" s="19" t="str">
        <x:v>id, owner_tenant_id, beneficiary_tenant_id, assignment_id, permission_id, object/product/period/field/purpose_scope, version, revoked_at</x:v>
      </x:c>
      <x:c r="C13" s="19" t="str">
        <x:v>Tillåten intern användning och distribution.</x:v>
      </x:c>
      <x:c r="D13" s="19" t="str">
        <x:v>Alla queries/exporter/cache måste pröva scope och aktuell grantversion.</x:v>
      </x:c>
    </x:row>
    <x:row r="14" ht="36.599998474121094" customHeight="1">
      <x:c r="A14" s="19" t="str">
        <x:v>ediel_receipt</x:v>
      </x:c>
      <x:c r="B14" s="19" t="str">
        <x:v>id, environment, transport_id, raw_object_ref, hash, received_at, technical_parties, attribution_state</x:v>
      </x:c>
      <x:c r="C14" s="19" t="str">
        <x:v>Skyddad råmottagning före säker tenantattribution.</x:v>
      </x:c>
      <x:c r="D14" s="19" t="str">
        <x:v>Befintlig ediel_messages/payloads/inbox kan utökas; oattribuerat material får inte bli global tenantläsning.</x:v>
      </x:c>
    </x:row>
    <x:row r="15" ht="36.599998474121094" customHeight="1">
      <x:c r="A15" s="19" t="str">
        <x:v>ediel_message_context</x:v>
      </x:c>
      <x:c r="B15" s="19" t="str">
        <x:v>message_id, owner_tenant_id, legal_sender/recipient, role, market, rule_decision_id, original_refs</x:v>
      </x:c>
      <x:c r="C15" s="19" t="str">
        <x:v>Affärsmeddelandets fastställda kontext.</x:v>
      </x:c>
      <x:c r="D15" s="19" t="str">
        <x:v>Ändra inte ursprunglig roll när data projiceras till beneficiary.</x:v>
      </x:c>
    </x:row>
    <x:row r="16" ht="36.599998474121094" customHeight="1">
      <x:c r="A16" s="19" t="str">
        <x:v>ediel_transaction_disposition</x:v>
      </x:c>
      <x:c r="B16" s="19" t="str">
        <x:v>message_id, original_transaction_id_or_line_key, outcome, rule_ids, findings, stored_revision_ids, response_intent_ids</x:v>
      </x:c>
      <x:c r="C16" s="19" t="str">
        <x:v>Delresultat och affärseffekt.</x:v>
      </x:c>
      <x:c r="D16" s="19" t="str">
        <x:v>Unik per faktiskt behandlad del/version. Godkänd lagring och ACK-intent i samma DBtransaktion.</x:v>
      </x:c>
    </x:row>
    <x:row r="17" ht="36.599998474121094" customHeight="1">
      <x:c r="A17" s="19" t="str">
        <x:v>outbound_attempt</x:v>
      </x:c>
      <x:c r="B17" s="19" t="str">
        <x:v>intent_id, attempt_id, lease_token, payload_hash, rfc_message_id, provider_id, queue_id, smtp_code, accepted/rejected_recipients, timestamps, unknown_state</x:v>
      </x:c>
      <x:c r="C17" s="19" t="str">
        <x:v>Vad transporten faktiskt gjorde.</x:v>
      </x:c>
      <x:c r="D17" s="19" t="str">
        <x:v>Skilj från affärsstatus. Exact-once kan inte antas över SMTP.</x:v>
      </x:c>
    </x:row>
    <x:row r="18" ht="36.599998474121094" customHeight="1">
      <x:c r="A18" s="19" t="str">
        <x:v>effective_structure_version</x:v>
      </x:c>
      <x:c r="B18" s="19" t="str">
        <x:v>tenant/actor scope, metering_identity, valid_from/to, observed_at, source_message/line, meter/register/product/BRP facts</x:v>
      </x:c>
      <x:c r="C18" s="19" t="str">
        <x:v>Tidsberoende struktur.</x:v>
      </x:c>
      <x:c r="D18" s="19" t="str">
        <x:v>Giltighetsdatum != mottagningstid; future/old-versioner ska fungera.</x:v>
      </x:c>
    </x:row>
    <x:row r="19" ht="36.599998474121094" customHeight="1">
      <x:c r="A19" s="19" t="str">
        <x:v>measurement_revision</x:v>
      </x:c>
      <x:c r="B19" s="19" t="str">
        <x:v>owner scope, series_identity, observation_type, interval, exact_value, unit, quality, source_registration_time, source_message/IDE, status</x:v>
      </x:c>
      <x:c r="C19" s="19" t="str">
        <x:v>Spårbar dataversion.</x:v>
      </x:c>
      <x:c r="D19" s="19" t="str">
        <x:v>Energi/effekt/ställning skilda; old-late-positive får inte ersätta nyare.</x:v>
      </x:c>
    </x:row>
    <x:row r="20" ht="36.599998474121094" customHeight="1">
      <x:c r="A20" s="19" t="str">
        <x:v>readiness_evidence</x:v>
      </x:c>
      <x:c r="B20" s="19" t="str">
        <x:v>scope tenant/actor/role/capability, release_sha, schema_fingerprint, rulepack_hash, route/cert/permission versions, tests, verified_at, expiry</x:v>
      </x:c>
      <x:c r="C20" s="19" t="str">
        <x:v>På vilket bevis en kapabilitet aktiverats.</x:v>
      </x:c>
      <x:c r="D20" s="19" t="str">
        <x:v>Flera capability-bevis; ingen global stale is_ready.</x:v>
      </x:c>
    </x:row>
    <x:row r="21" ht="36.599998474121094" customHeight="1">
      <x:c r="A21" s="19" t="str">
        <x:v>process_expectation</x:v>
      </x:c>
      <x:c r="B21" s="19" t="str">
        <x:v>process_id, expected_event, timer_rule_id, anchor_type/time/evidence, due_at, status, owner, last_decision_id</x:v>
      </x:c>
      <x:c r="C21" s="19" t="str">
        <x:v>Vad systemet väntar på och när det ska agera.</x:v>
      </x:c>
      <x:c r="D21" s="19" t="str">
        <x:v>Teknisk ACK och affärssvar är skilda; inga oavsiktliga kedjade30minförlängningar.</x:v>
      </x:c>
    </x:row>
  </x:sheetData>
  <x:mergeCells>
    <x:mergeCell ref="A1:D1"/>
    <x:mergeCell ref="A2:D2"/>
  </x:mergeCells>
  <x:pageMargins left="0.7" right="0.7" top="0.75" bottom="0.75" header="0.3" footer="0.3"/>
  <x:tableParts count="1">
    <x:tablePart xmlns:r="http://schemas.openxmlformats.org/officeDocument/2006/relationships" r:id="R668a121519944b65"/>
  </x:tableParts>
</x:worksheet>
</file>

<file path=xl/worksheets/sheet15.xml><?xml version="1.0" encoding="utf-8"?>
<x:worksheet xmlns:x="http://schemas.openxmlformats.org/spreadsheetml/2006/main">
  <x:sheetFormatPr defaultRowHeight="15"/>
  <x:cols>
    <x:col min="1" max="1" width="35" hidden="0" customWidth="1"/>
    <x:col min="2" max="2" width="41" hidden="0" customWidth="1"/>
    <x:col min="3" max="3" width="65" hidden="0" customWidth="1"/>
    <x:col min="4" max="4" width="48" hidden="0" customWidth="1"/>
    <x:col min="5" max="5" width="70" hidden="0" customWidth="1"/>
    <x:col min="6" max="6" width="62" hidden="0" customWidth="1"/>
    <x:col min="7" max="7" width="31" hidden="0" customWidth="1"/>
    <x:col min="8" max="8" width="26" hidden="0" customWidth="1"/>
    <x:col min="9" max="9" width="28" hidden="0" customWidth="1"/>
    <x:col min="10" max="10" width="45" hidden="0" customWidth="1"/>
  </x:cols>
  <x:sheetData>
    <x:row r="1" ht="30" customHeight="1">
      <x:c r="A1" s="3" t="str">
        <x:v>Acceptanskontrakt · Gridex Ediel v2</x:v>
      </x:c>
      <x:c r="B1" s="3"/>
      <x:c r="C1" s="3"/>
      <x:c r="D1" s="3"/>
      <x:c r="E1" s="3"/>
      <x:c r="F1" s="3"/>
      <x:c r="G1" s="3"/>
      <x:c r="H1" s="3"/>
      <x:c r="I1" s="3"/>
      <x:c r="J1" s="3"/>
    </x:row>
    <x:row r="2" ht="34" customHeight="1">
      <x:c r="A2" s="8" t="str">
        <x:v>231 specificerade prov. INGA av dessa är markerade genomförda mot systemet. Dokumentintegritet är ett separat prov.</x:v>
      </x:c>
      <x:c r="B2" s="8"/>
      <x:c r="C2" s="8"/>
      <x:c r="D2" s="8"/>
      <x:c r="E2" s="8"/>
      <x:c r="F2" s="8"/>
      <x:c r="G2" s="8"/>
      <x:c r="H2" s="8"/>
      <x:c r="I2" s="8"/>
      <x:c r="J2" s="8"/>
    </x:row>
    <x:row r="4" ht="37" customHeight="1">
      <x:c r="A4" s="14" t="str">
        <x:v>Test-id</x:v>
      </x:c>
      <x:c r="B4" s="14" t="str">
        <x:v>Fall</x:v>
      </x:c>
      <x:c r="C4" s="14" t="str">
        <x:v>Givet</x:v>
      </x:c>
      <x:c r="D4" s="14" t="str">
        <x:v>När</x:v>
      </x:c>
      <x:c r="E4" s="14" t="str">
        <x:v>Förväntat</x:v>
      </x:c>
      <x:c r="F4" s="14" t="str">
        <x:v>Förbjudet utfall</x:v>
      </x:c>
      <x:c r="G4" s="14" t="str">
        <x:v>Regel-id</x:v>
      </x:c>
      <x:c r="H4" s="14" t="str">
        <x:v>Testnivå</x:v>
      </x:c>
      <x:c r="I4" s="14" t="str">
        <x:v>Körstatus</x:v>
      </x:c>
      <x:c r="J4" s="14" t="str">
        <x:v>Bevis</x:v>
      </x:c>
    </x:row>
    <x:row r="5" ht="36.599998474121094" customHeight="1">
      <x:c r="A5" s="19" t="str">
        <x:v>SC-001</x:v>
      </x:c>
      <x:c r="B5" s="19" t="str">
        <x:v>Egen tenant med DDQ</x:v>
      </x:c>
      <x:c r="C5" s="19" t="str">
        <x:v>Tenant A har legal aktör A, DDQ-profil och giltigt leveransavtal. B har annan aktör.</x:v>
      </x:c>
      <x:c r="D5" s="19" t="str">
        <x:v>A beställer Z03L.</x:v>
      </x:c>
      <x:c r="E5" s="19" t="str">
        <x:v>Partsidentitet A på wire, 23-DDQ-PRODAT, rätt objekt och L/Z22.</x:v>
      </x:c>
      <x:c r="F5" s="19" t="str">
        <x:v>Gridex-id ersätter inte A:s aktör; ingen data från B.</x:v>
      </x:c>
      <x:c r="G5" s="19" t="str">
        <x:v>TEN-02; TEN-05; ENV-06</x:v>
      </x:c>
      <x:c r="H5" s="19" t="str">
        <x:v>Integration/E2E</x:v>
      </x:c>
      <x:c r="I5" s="19" t="str">
        <x:v>Inte körd mot systemet</x:v>
      </x:c>
      <x:c r="J5" s="19" t="str"/>
    </x:row>
    <x:row r="6" ht="32" customHeight="1">
      <x:c r="A6" s="19" t="str">
        <x:v>SC-002</x:v>
      </x:c>
      <x:c r="B6" s="19" t="str">
        <x:v>Egen tenant med DGI</x:v>
      </x:c>
      <x:c r="C6" s="19" t="str">
        <x:v>Tenant B har egen legal ESCO-identitet och DSO-/kundavtal.</x:v>
      </x:c>
      <x:c r="D6" s="19" t="str">
        <x:v>B beställer Z13V.</x:v>
      </x:c>
      <x:c r="E6" s="19" t="str">
        <x:v>B:s juridisk aktör och 23-DGI-PRODAT; separat tillståndsärende.</x:v>
      </x:c>
      <x:c r="F6" s="19" t="str">
        <x:v>Ingen Z03 och inget Gridex-ombud antas.</x:v>
      </x:c>
      <x:c r="G6" s="19" t="str">
        <x:v>TEN-02; ESCO-01</x:v>
      </x:c>
      <x:c r="H6" s="19" t="str">
        <x:v>Integration/E2E</x:v>
      </x:c>
      <x:c r="I6" s="19" t="str">
        <x:v>Inte körd mot systemet</x:v>
      </x:c>
      <x:c r="J6" s="19" t="str"/>
    </x:row>
    <x:row r="7" ht="36.599998474121094" customHeight="1">
      <x:c r="A7" s="19" t="str">
        <x:v>SC-003</x:v>
      </x:c>
      <x:c r="B7" s="19" t="str">
        <x:v>Provider ESCO för kundtenant</x:v>
      </x:c>
      <x:c r="C7" s="19" t="str">
        <x:v>Provider P har legal ESCO; tenant K är avtalad beneficiary; uppdrag/kund/DSO-evidens finns.</x:v>
      </x:c>
      <x:c r="D7" s="19" t="str">
        <x:v>K beställer mätvärdestillgång inom mandatet.</x:v>
      </x:c>
      <x:c r="E7" s="19" t="str">
        <x:v>P agerar juridiskt i DGI; uppdrag kopplat till K internt.</x:v>
      </x:c>
      <x:c r="F7" s="19" t="str">
        <x:v>K:s UUID skickas inte som legal Ediel-id; K får ingen obegränsad provideråtkomst.</x:v>
      </x:c>
      <x:c r="G7" s="19" t="str">
        <x:v>TEN-03; TEN-14</x:v>
      </x:c>
      <x:c r="H7" s="19" t="str">
        <x:v>Integration/E2E</x:v>
      </x:c>
      <x:c r="I7" s="19" t="str">
        <x:v>Inte körd mot systemet</x:v>
      </x:c>
      <x:c r="J7" s="19" t="str"/>
    </x:row>
    <x:row r="8" ht="36.599998474121094" customHeight="1">
      <x:c r="A8" s="19" t="str">
        <x:v>SC-004</x:v>
      </x:c>
      <x:c r="B8" s="19" t="str">
        <x:v>SaaS-tenant utan egen Edielregistrering</x:v>
      </x:c>
      <x:c r="C8" s="19" t="str">
        <x:v>K är kund till ESCO-tjänsten och inte själv marknadsaktör.</x:v>
      </x:c>
      <x:c r="D8" s="19" t="str">
        <x:v>K läser data efter giltigt grant.</x:v>
      </x:c>
      <x:c r="E8" s="19" t="str">
        <x:v>Åtkomst genom explicit grant i P:s tjänst; inget krav på påhittad egen marknadsidentitet.</x:v>
      </x:c>
      <x:c r="F8" s="19" t="str">
        <x:v>Skapa inte ett Ediel-id för att tillåta vanlig SaaS-användning.</x:v>
      </x:c>
      <x:c r="G8" s="19" t="str">
        <x:v>TEN-03; TEN-08</x:v>
      </x:c>
      <x:c r="H8" s="19" t="str">
        <x:v>Integration/E2E</x:v>
      </x:c>
      <x:c r="I8" s="19" t="str">
        <x:v>Inte körd mot systemet</x:v>
      </x:c>
      <x:c r="J8" s="19" t="str"/>
    </x:row>
    <x:row r="9" ht="36.599998474121094" customHeight="1">
      <x:c r="A9" s="19" t="str">
        <x:v>SC-005</x:v>
      </x:c>
      <x:c r="B9" s="19" t="str">
        <x:v>Två beneficiaries samma rättighetskälla</x:v>
      </x:c>
      <x:c r="C9" s="19" t="str">
        <x:v>P har ett korrekt tillstånd och två självständigt giltiga uppdrag för samma objekt/period, K1 och K2.</x:v>
      </x:c>
      <x:c r="D9" s="19" t="str">
        <x:v>En E66-DGI tas emot.</x:v>
      </x:c>
      <x:c r="E9" s="19" t="str">
        <x:v>En upstream mottagning/disposition/kvittens, två behöriga interna projektioner.</x:v>
      </x:c>
      <x:c r="F9" s="19" t="str">
        <x:v>Ingen dubbelt fakturerad energi eller dubbla kvittenser per beneficiary.</x:v>
      </x:c>
      <x:c r="G9" s="19" t="str">
        <x:v>TEN-08; TEN-09</x:v>
      </x:c>
      <x:c r="H9" s="19" t="str">
        <x:v>Integration/E2E</x:v>
      </x:c>
      <x:c r="I9" s="19" t="str">
        <x:v>Inte körd mot systemet</x:v>
      </x:c>
      <x:c r="J9" s="19" t="str"/>
    </x:row>
    <x:row r="10" ht="36.599998474121094" customHeight="1">
      <x:c r="A10" s="19" t="str">
        <x:v>SC-006</x:v>
      </x:c>
      <x:c r="B10" s="19" t="str">
        <x:v>En beneficiary avslutar</x:v>
      </x:c>
      <x:c r="C10" s="19" t="str">
        <x:v>SC-005 men bara K1 säger upp uppdraget.</x:v>
      </x:c>
      <x:c r="D10" s="19" t="str">
        <x:v>Avsluta K1:s interna grant.</x:v>
      </x:c>
      <x:c r="E10" s="19" t="str">
        <x:v>K1:s framtida åtkomst spärras; K2:s rätt prövas separat och kan fortsätta.</x:v>
      </x:c>
      <x:c r="F10" s="19" t="str">
        <x:v>Ingen automatisk Z18 som avslutar allas giltiga marknadstillstånd.</x:v>
      </x:c>
      <x:c r="G10" s="19" t="str">
        <x:v>TEN-09; TEN-10</x:v>
      </x:c>
      <x:c r="H10" s="19" t="str">
        <x:v>Integration/E2E</x:v>
      </x:c>
      <x:c r="I10" s="19" t="str">
        <x:v>Inte körd mot systemet</x:v>
      </x:c>
      <x:c r="J10" s="19" t="str"/>
    </x:row>
    <x:row r="11" ht="32" customHeight="1">
      <x:c r="A11" s="19" t="str">
        <x:v>SC-007</x:v>
      </x:c>
      <x:c r="B11" s="19" t="str">
        <x:v>Samma GSRN i annan tenant</x:v>
      </x:c>
      <x:c r="C11" s="19" t="str">
        <x:v>K2 känner till anläggnings-id men saknar grant.</x:v>
      </x:c>
      <x:c r="D11" s="19" t="str">
        <x:v>K2 anropar API/export med id:t.</x:v>
      </x:c>
      <x:c r="E11" s="19" t="str">
        <x:v>Behörighetsavslag utan kunddata.</x:v>
      </x:c>
      <x:c r="F11" s="19" t="str">
        <x:v>Global GSRN-matchning får inte ge åtkomst.</x:v>
      </x:c>
      <x:c r="G11" s="19" t="str">
        <x:v>TEN-12</x:v>
      </x:c>
      <x:c r="H11" s="19" t="str">
        <x:v>Integration/E2E</x:v>
      </x:c>
      <x:c r="I11" s="19" t="str">
        <x:v>Inte körd mot systemet</x:v>
      </x:c>
      <x:c r="J11" s="19" t="str"/>
    </x:row>
    <x:row r="12" ht="36.599998474121094" customHeight="1">
      <x:c r="A12" s="19" t="str">
        <x:v>SC-008</x:v>
      </x:c>
      <x:c r="B12" s="19" t="str">
        <x:v>Råfil med blandade behöriga objekt</x:v>
      </x:c>
      <x:c r="C12" s="19" t="str">
        <x:v>P mottar fil med objekt för flera uppdrag; K har rätt till endast ett.</x:v>
      </x:c>
      <x:c r="D12" s="19" t="str">
        <x:v>K begär råfil eller full export.</x:v>
      </x:c>
      <x:c r="E12" s="19" t="str">
        <x:v>Filtrerad tillåten projektion; råfil bara för behörig operatör.</x:v>
      </x:c>
      <x:c r="F12" s="19" t="str">
        <x:v>Övriga kunders innehåll lämnas inte ut.</x:v>
      </x:c>
      <x:c r="G12" s="19" t="str">
        <x:v>TEN-07</x:v>
      </x:c>
      <x:c r="H12" s="19" t="str">
        <x:v>Integration/E2E</x:v>
      </x:c>
      <x:c r="I12" s="19" t="str">
        <x:v>Inte körd mot systemet</x:v>
      </x:c>
      <x:c r="J12" s="19" t="str"/>
    </x:row>
    <x:row r="13" ht="36.599998474121094" customHeight="1">
      <x:c r="A13" s="19" t="str">
        <x:v>SC-009</x:v>
      </x:c>
      <x:c r="B13" s="19" t="str">
        <x:v>Tekniskt ombud skiljer sig från juridisk part</x:v>
      </x:c>
      <x:c r="C13" s="19" t="str">
        <x:v>Registerpost har InterchangePartyId82150 och legalPartyId62110.</x:v>
      </x:c>
      <x:c r="D13" s="19" t="str">
        <x:v>Routa eller ta emot enligt posten.</x:v>
      </x:c>
      <x:c r="E13" s="19" t="str">
        <x:v>Identiteterna bevaras och behörig delegation kontrolleras.</x:v>
      </x:c>
      <x:c r="F13" s="19" t="str">
        <x:v>Systemet kräver inte att parterna alltid är lika.</x:v>
      </x:c>
      <x:c r="G13" s="19" t="str">
        <x:v>TEN-04; IMP-02</x:v>
      </x:c>
      <x:c r="H13" s="19" t="str">
        <x:v>Integration/E2E</x:v>
      </x:c>
      <x:c r="I13" s="19" t="str">
        <x:v>Inte körd mot systemet</x:v>
      </x:c>
      <x:c r="J13" s="19" t="str"/>
    </x:row>
    <x:row r="14" ht="36.599998474121094" customHeight="1">
      <x:c r="A14" s="19" t="str">
        <x:v>SC-010</x:v>
      </x:c>
      <x:c r="B14" s="19" t="str">
        <x:v>Återkallelse under pågående exportjobb</x:v>
      </x:c>
      <x:c r="C14" s="19" t="str">
        <x:v>Grant var aktivt vid köläggning men återkallat före läsning/sändning.</x:v>
      </x:c>
      <x:c r="D14" s="19" t="str">
        <x:v>Jobbet tar lease och ska exportera.</x:v>
      </x:c>
      <x:c r="E14" s="19" t="str">
        <x:v>Ompröva grantversion och stoppa otillåten export.</x:v>
      </x:c>
      <x:c r="F14" s="19" t="str">
        <x:v>Ingen utdelning baserad bara på gamla cachevärden.</x:v>
      </x:c>
      <x:c r="G14" s="19" t="str">
        <x:v>TEN-10; TEN-12</x:v>
      </x:c>
      <x:c r="H14" s="19" t="str">
        <x:v>Integration/E2E</x:v>
      </x:c>
      <x:c r="I14" s="19" t="str">
        <x:v>Inte körd mot systemet</x:v>
      </x:c>
      <x:c r="J14" s="19" t="str"/>
    </x:row>
    <x:row r="15" ht="36.599998474121094" customHeight="1">
      <x:c r="A15" s="19" t="str">
        <x:v>SC-011</x:v>
      </x:c>
      <x:c r="B15" s="19" t="str">
        <x:v>Z15C efter separat intern återkallelse</x:v>
      </x:c>
      <x:c r="C15" s="19" t="str">
        <x:v>Market permission återställs men beneficiary-grant har annan giltig återkallelse.</x:v>
      </x:c>
      <x:c r="D15" s="19" t="str">
        <x:v>Ta emot korrekt Z15C.</x:v>
      </x:c>
      <x:c r="E15" s="19" t="str">
        <x:v>Återställ market permission; beneficiary-grant förblir spärrat tills ny grund finns.</x:v>
      </x:c>
      <x:c r="F15" s="19" t="str">
        <x:v>Alla beneficiaries återaktiveras inte automatiskt.</x:v>
      </x:c>
      <x:c r="G15" s="19" t="str">
        <x:v>ESCO-09; TEN-10</x:v>
      </x:c>
      <x:c r="H15" s="19" t="str">
        <x:v>Integration/E2E</x:v>
      </x:c>
      <x:c r="I15" s="19" t="str">
        <x:v>Inte körd mot systemet</x:v>
      </x:c>
      <x:c r="J15" s="19" t="str"/>
    </x:row>
    <x:row r="16" ht="32" customHeight="1">
      <x:c r="A16" s="19" t="str">
        <x:v>SC-012</x:v>
      </x:c>
      <x:c r="B16" s="19" t="str">
        <x:v>Samma aktör använder båda rollerna</x:v>
      </x:c>
      <x:c r="C16" s="19" t="str">
        <x:v>Samma tenant/juridisk aktör har DDQ och DGI.</x:v>
      </x:c>
      <x:c r="D16" s="19" t="str">
        <x:v>Behandla positiv Z14 och senare positiv Z04.</x:v>
      </x:c>
      <x:c r="E16" s="19" t="str">
        <x:v>Z14 påverkar rättighet, Z04 leverans; separata state machines.</x:v>
      </x:c>
      <x:c r="F16" s="19" t="str">
        <x:v>Inga korsvisa aktiveringar.</x:v>
      </x:c>
      <x:c r="G16" s="19" t="str">
        <x:v>TEN-05</x:v>
      </x:c>
      <x:c r="H16" s="19" t="str">
        <x:v>Integration/E2E</x:v>
      </x:c>
      <x:c r="I16" s="19" t="str">
        <x:v>Inte körd mot systemet</x:v>
      </x:c>
      <x:c r="J16" s="19" t="str"/>
    </x:row>
    <x:row r="17" ht="36.599998474121094" customHeight="1">
      <x:c r="A17" s="19" t="str">
        <x:v>SC-013</x:v>
      </x:c>
      <x:c r="B17" s="19" t="str">
        <x:v>UCI/LI-kollision mellan tenants</x:v>
      </x:c>
      <x:c r="C17" s="19" t="str">
        <x:v>Två aktörer har liknande LI/BGM-referenser i olika namnrymder.</x:v>
      </x:c>
      <x:c r="D17" s="19" t="str">
        <x:v>En kvittens för aktör B anländer till delad brevlåda.</x:v>
      </x:c>
      <x:c r="E17" s="19" t="str">
        <x:v>Korrelation väljer B utifrån parter/marknad/roll/originalreferenser.</x:v>
      </x:c>
      <x:c r="F17" s="19" t="str">
        <x:v>Tenant A:s ärende förblir oförändrat.</x:v>
      </x:c>
      <x:c r="G17" s="19" t="str">
        <x:v>TEN-13; ACK-06</x:v>
      </x:c>
      <x:c r="H17" s="19" t="str">
        <x:v>Integration/E2E</x:v>
      </x:c>
      <x:c r="I17" s="19" t="str">
        <x:v>Inte körd mot systemet</x:v>
      </x:c>
      <x:c r="J17" s="19" t="str"/>
    </x:row>
    <x:row r="18" ht="36.599998474121094" customHeight="1">
      <x:c r="A18" s="19" t="str">
        <x:v>SC-014</x:v>
      </x:c>
      <x:c r="B18" s="19" t="str">
        <x:v>Oattribuerbar mottagning</x:v>
      </x:c>
      <x:c r="C18" s="19" t="str">
        <x:v>Teknisk mottagning lyckas men legal/tenantkontext är oklar.</x:v>
      </x:c>
      <x:c r="D18" s="19" t="str">
        <x:v>MIME/EDI behandlas.</x:v>
      </x:c>
      <x:c r="E18" s="19" t="str">
        <x:v>Skyddad staging och källstödd teknisk fel-/kvittenshantering där säkert möjlig.</x:v>
      </x:c>
      <x:c r="F18" s="19" t="str">
        <x:v>Gissa inte tenant från första kundträffen; fabricera inte objektsfel på egen konfigbrist.</x:v>
      </x:c>
      <x:c r="G18" s="19" t="str">
        <x:v>TEN-06; TEN-11</x:v>
      </x:c>
      <x:c r="H18" s="19" t="str">
        <x:v>Integration/E2E</x:v>
      </x:c>
      <x:c r="I18" s="19" t="str">
        <x:v>Inte körd mot systemet</x:v>
      </x:c>
      <x:c r="J18" s="19" t="str"/>
    </x:row>
    <x:row r="19" ht="36.599998474121094" customHeight="1">
      <x:c r="A19" s="19" t="str">
        <x:v>SC-015</x:v>
      </x:c>
      <x:c r="B19" s="19" t="str">
        <x:v>Provider koordinerar pågående Z13</x:v>
      </x:c>
      <x:c r="C19" s="19" t="str">
        <x:v>Samma P/kund/DSO har en väntande begäran från annat uppdrag.</x:v>
      </x:c>
      <x:c r="D19" s="19" t="str">
        <x:v>K2 vill skicka ny Z13 för samma eller nya objekt.</x:v>
      </x:c>
      <x:c r="E19" s="19" t="str">
        <x:v>Pröva Handbokens nya-objekt-/upprepningsfall och koordinerad begäran.</x:v>
      </x:c>
      <x:c r="F19" s="19" t="str">
        <x:v>Beneficiary-id används inte för att kringgå21dagarsförloppet.</x:v>
      </x:c>
      <x:c r="G19" s="19" t="str">
        <x:v>TEN-09; ESCO-06</x:v>
      </x:c>
      <x:c r="H19" s="19" t="str">
        <x:v>Integration/E2E</x:v>
      </x:c>
      <x:c r="I19" s="19" t="str">
        <x:v>Inte körd mot systemet</x:v>
      </x:c>
      <x:c r="J19" s="19" t="str"/>
    </x:row>
    <x:row r="20" ht="32" customHeight="1">
      <x:c r="A20" s="19" t="str">
        <x:v>SC-016</x:v>
      </x:c>
      <x:c r="B20" s="19" t="str">
        <x:v>Delvis godkända ESCO-anläggningar</x:v>
      </x:c>
      <x:c r="C20" s="19" t="str">
        <x:v>Z13 omfattar flera möjliga objekt; Z14 godkänner endast A.</x:v>
      </x:c>
      <x:c r="D20" s="19" t="str">
        <x:v>Behandla Z14.</x:v>
      </x:c>
      <x:c r="E20" s="19" t="str">
        <x:v>Permission/grants omfattar endast uttryckligen godkänd information.</x:v>
      </x:c>
      <x:c r="F20" s="19" t="str">
        <x:v>B/C läggs inte till från kundregistret.</x:v>
      </x:c>
      <x:c r="G20" s="19" t="str">
        <x:v>ESCO-04</x:v>
      </x:c>
      <x:c r="H20" s="19" t="str">
        <x:v>Integration/E2E</x:v>
      </x:c>
      <x:c r="I20" s="19" t="str">
        <x:v>Inte körd mot systemet</x:v>
      </x:c>
      <x:c r="J20" s="19" t="str"/>
    </x:row>
    <x:row r="21" ht="36.599998474121094" customHeight="1">
      <x:c r="A21" s="19" t="str">
        <x:v>SC-017</x:v>
      </x:c>
      <x:c r="B21" s="19" t="str">
        <x:v>E66 saknar permission-id</x:v>
      </x:c>
      <x:c r="C21" s="19" t="str">
        <x:v>Giltig DGI-serie kan identifieras via juridisk aktör, GSRN, produkt, period och tillståndskoppling.</x:v>
      </x:c>
      <x:c r="D21" s="19" t="str">
        <x:v>Validera serie.</x:v>
      </x:c>
      <x:c r="E21" s="19" t="str">
        <x:v>Korrelation utan påhittat wirefält; bara giltig kontext används.</x:v>
      </x:c>
      <x:c r="F21" s="19" t="str">
        <x:v>Avvisa inte som saknat permission-id när det inte är föreskrivet fält.</x:v>
      </x:c>
      <x:c r="G21" s="19" t="str">
        <x:v>ESCO-10</x:v>
      </x:c>
      <x:c r="H21" s="19" t="str">
        <x:v>Integration/E2E</x:v>
      </x:c>
      <x:c r="I21" s="19" t="str">
        <x:v>Inte körd mot systemet</x:v>
      </x:c>
      <x:c r="J21" s="19" t="str"/>
    </x:row>
    <x:row r="22" ht="36.599998474121094" customHeight="1">
      <x:c r="A22" s="19" t="str">
        <x:v>SC-018</x:v>
      </x:c>
      <x:c r="B22" s="19" t="str">
        <x:v>DDQ-kundrelation utan ESCO-mandat</x:v>
      </x:c>
      <x:c r="C22" s="19" t="str">
        <x:v>Elleverans finns men separat begärd ESCO-tjänst saknar tillstånd.</x:v>
      </x:c>
      <x:c r="D22" s="19" t="str">
        <x:v>Skapa DGI-rättighet från kundkort.</x:v>
      </x:c>
      <x:c r="E22" s="19" t="str">
        <x:v>Begär rätt underlag och följ tillståndsprocessen.</x:v>
      </x:c>
      <x:c r="F22" s="19" t="str">
        <x:v>Aktiv elleverans blir inte automatiskt DGI-tillstånd.</x:v>
      </x:c>
      <x:c r="G22" s="19" t="str">
        <x:v>TEN-05; ESCO-01</x:v>
      </x:c>
      <x:c r="H22" s="19" t="str">
        <x:v>Integration/E2E</x:v>
      </x:c>
      <x:c r="I22" s="19" t="str">
        <x:v>Inte körd mot systemet</x:v>
      </x:c>
      <x:c r="J22" s="19" t="str"/>
    </x:row>
    <x:row r="23" ht="36.599998474121094" customHeight="1">
      <x:c r="A23" s="19" t="str">
        <x:v>SC-019</x:v>
      </x:c>
      <x:c r="B23" s="19" t="str">
        <x:v>DGI-värden till fakturering</x:v>
      </x:c>
      <x:c r="C23" s="19" t="str">
        <x:v>Data mottagen i P:s DGI-roll och önskas användas av retailer K.</x:v>
      </x:c>
      <x:c r="D23" s="19" t="str">
        <x:v>Bygg underlag.</x:v>
      </x:c>
      <x:c r="E23" s="19" t="str">
        <x:v>Pröva datagrund/ändamål/leveransperiod/prismodell och bevara källproveniens.</x:v>
      </x:c>
      <x:c r="F23" s="19" t="str">
        <x:v>Omskriv inte original som DDQ-E66 eller använd data utan rätt.</x:v>
      </x:c>
      <x:c r="G23" s="19" t="str">
        <x:v>ESCO-11; DB-06</x:v>
      </x:c>
      <x:c r="H23" s="19" t="str">
        <x:v>Integration/E2E</x:v>
      </x:c>
      <x:c r="I23" s="19" t="str">
        <x:v>Inte körd mot systemet</x:v>
      </x:c>
      <x:c r="J23" s="19" t="str"/>
    </x:row>
    <x:row r="24" ht="32" customHeight="1">
      <x:c r="A24" s="19" t="str">
        <x:v>SC-020</x:v>
      </x:c>
      <x:c r="B24" s="19" t="str">
        <x:v>Z13 positiv AP men ingen Z14</x:v>
      </x:c>
      <x:c r="C24" s="19" t="str">
        <x:v>Begäran har positiv APERAK.</x:v>
      </x:c>
      <x:c r="D24" s="19" t="str">
        <x:v>Kontrollera behörighet.</x:v>
      </x:c>
      <x:c r="E24" s="19" t="str">
        <x:v>Ärendet väntar fortfarande på affärsbeslut.</x:v>
      </x:c>
      <x:c r="F24" s="19" t="str">
        <x:v>Ingen mätvärdesåtkomst eller leveransaktivering.</x:v>
      </x:c>
      <x:c r="G24" s="19" t="str">
        <x:v>ESCO-03</x:v>
      </x:c>
      <x:c r="H24" s="19" t="str">
        <x:v>Integration/E2E</x:v>
      </x:c>
      <x:c r="I24" s="19" t="str">
        <x:v>Inte körd mot systemet</x:v>
      </x:c>
      <x:c r="J24" s="19" t="str"/>
    </x:row>
    <x:row r="25" ht="32" customHeight="1">
      <x:c r="A25" s="19" t="str">
        <x:v>SC-021</x:v>
      </x:c>
      <x:c r="B25" s="19" t="str">
        <x:v>Aktivt kontra passivt nekande</x:v>
      </x:c>
      <x:c r="C25" s="19" t="str">
        <x:v>Giltiga Z14N med A13 respektive A76.</x:v>
      </x:c>
      <x:c r="D25" s="19" t="str">
        <x:v>Behandla svaren var för sig.</x:v>
      </x:c>
      <x:c r="E25" s="19" t="str">
        <x:v>Två särskilda nekandetillstånd med föreskrivna kvittenser.</x:v>
      </x:c>
      <x:c r="F25" s="19" t="str">
        <x:v>Negativt affärssvar klassas inte som eget syntaxfel.</x:v>
      </x:c>
      <x:c r="G25" s="19" t="str">
        <x:v>ESCO-05</x:v>
      </x:c>
      <x:c r="H25" s="19" t="str">
        <x:v>Integration/E2E</x:v>
      </x:c>
      <x:c r="I25" s="19" t="str">
        <x:v>Inte körd mot systemet</x:v>
      </x:c>
      <x:c r="J25" s="19" t="str"/>
    </x:row>
    <x:row r="26" ht="32" customHeight="1">
      <x:c r="A26" s="19" t="str">
        <x:v>SC-022</x:v>
      </x:c>
      <x:c r="B26" s="19" t="str">
        <x:v>21dagar utan svar</x:v>
      </x:c>
      <x:c r="C26" s="19" t="str">
        <x:v>Utgående Z13 har inget Z14/N i retur efter bevakningsfrist.</x:v>
      </x:c>
      <x:c r="D26" s="19" t="str">
        <x:v>Timer förfaller.</x:v>
      </x:c>
      <x:c r="E26" s="19" t="str">
        <x:v>Overdue-uppgift och kontakt/spårning.</x:v>
      </x:c>
      <x:c r="F26" s="19" t="str">
        <x:v>Inget lokalt fabricerat Z14N eller auto-godkännande.</x:v>
      </x:c>
      <x:c r="G26" s="19" t="str">
        <x:v>ESCO-06; OPS-02</x:v>
      </x:c>
      <x:c r="H26" s="19" t="str">
        <x:v>Integration/E2E</x:v>
      </x:c>
      <x:c r="I26" s="19" t="str">
        <x:v>Inte körd mot systemet</x:v>
      </x:c>
      <x:c r="J26" s="19" t="str"/>
    </x:row>
    <x:row r="27" ht="36.599998474121094" customHeight="1">
      <x:c r="A27" s="19" t="str">
        <x:v>SC-023</x:v>
      </x:c>
      <x:c r="B27" s="19" t="str">
        <x:v>Historikslut påverkar inte löpande tillstånd</x:v>
      </x:c>
      <x:c r="C27" s="19" t="str">
        <x:v>Separata V- och VH-förlopp finns för samma objekt.</x:v>
      </x:c>
      <x:c r="D27" s="19" t="str">
        <x:v>Ta emot Z15VH.</x:v>
      </x:c>
      <x:c r="E27" s="19" t="str">
        <x:v>Historikjobbet avslutas/täckningen granskas; V fortsätter om giltigt.</x:v>
      </x:c>
      <x:c r="F27" s="19" t="str">
        <x:v>Pågående V och DDQ-leverans avslutas inte.</x:v>
      </x:c>
      <x:c r="G27" s="19" t="str">
        <x:v>ESCO-07</x:v>
      </x:c>
      <x:c r="H27" s="19" t="str">
        <x:v>Integration/E2E</x:v>
      </x:c>
      <x:c r="I27" s="19" t="str">
        <x:v>Inte körd mot systemet</x:v>
      </x:c>
      <x:c r="J27" s="19" t="str"/>
    </x:row>
    <x:row r="28" ht="36.599998474121094" customHeight="1">
      <x:c r="A28" s="19" t="str">
        <x:v>SC-024</x:v>
      </x:c>
      <x:c r="B28" s="19" t="str">
        <x:v>Z14N utan positiv-Z14-fälten</x:v>
      </x:c>
      <x:c r="C28" s="19" t="str">
        <x:v>Z14N har korrekt status men saknar IT/UD/tillstånds-id/rapporteringsfält som ej ska skickas.</x:v>
      </x:c>
      <x:c r="D28" s="19" t="str">
        <x:v>Nationell validering.</x:v>
      </x:c>
      <x:c r="E28" s="19" t="str">
        <x:v>Parentvillkor gör barnen ej tillämpliga.</x:v>
      </x:c>
      <x:c r="F28" s="19" t="str">
        <x:v>Ingen falsk 41/316 eller 41/233 enbart från basmatrisens R.</x:v>
      </x:c>
      <x:c r="G28" s="19" t="str">
        <x:v>P-04</x:v>
      </x:c>
      <x:c r="H28" s="19" t="str">
        <x:v>Integration/E2E</x:v>
      </x:c>
      <x:c r="I28" s="19" t="str">
        <x:v>Inte körd mot systemet</x:v>
      </x:c>
      <x:c r="J28" s="19" t="str"/>
    </x:row>
    <x:row r="29" ht="36.599998474121094" customHeight="1">
      <x:c r="A29" s="19" t="str">
        <x:v>SC-025</x:v>
      </x:c>
      <x:c r="B29" s="19" t="str">
        <x:v>Z13 utan anläggnings-id</x:v>
      </x:c>
      <x:c r="C29" s="19" t="str">
        <x:v>Korrekt tillståndsbegäran på kundnivå.</x:v>
      </x:c>
      <x:c r="D29" s="19" t="str">
        <x:v>Bygg meddelandet.</x:v>
      </x:c>
      <x:c r="E29" s="19" t="str">
        <x:v>LIN+1 finns; inget påhittat anläggnings-id, kundfält och rätt övriga villkor finns.</x:v>
      </x:c>
      <x:c r="F29" s="19" t="str">
        <x:v>UUID får inte placeras som GSRN.</x:v>
      </x:c>
      <x:c r="G29" s="19" t="str">
        <x:v>P-07; P-06</x:v>
      </x:c>
      <x:c r="H29" s="19" t="str">
        <x:v>Integration/E2E</x:v>
      </x:c>
      <x:c r="I29" s="19" t="str">
        <x:v>Inte körd mot systemet</x:v>
      </x:c>
      <x:c r="J29" s="19" t="str"/>
    </x:row>
    <x:row r="30" ht="36.599998474121094" customHeight="1">
      <x:c r="A30" s="19" t="str">
        <x:v>SC-026</x:v>
      </x:c>
      <x:c r="B30" s="19" t="str">
        <x:v>Korrekt Z15 med DTM+164 och RFF+Z09</x:v>
      </x:c>
      <x:c r="C30" s="19" t="str">
        <x:v>Ett Z15-fall innehåller känt tillstånds-id och rätt upphörandetid.</x:v>
      </x:c>
      <x:c r="D30" s="19" t="str">
        <x:v>Validera den oförändrade meddelandestrukturen.</x:v>
      </x:c>
      <x:c r="E30" s="19" t="str">
        <x:v>Fält 327 läses ur DTM+164 och fält 325 ur RFF+Z09.</x:v>
      </x:c>
      <x:c r="F30" s="19" t="str">
        <x:v>Kräv inte DTM+273 eller RFF+ZPI och förväxla inte datumet med fält 321.</x:v>
      </x:c>
      <x:c r="G30" s="19" t="str">
        <x:v>P-01</x:v>
      </x:c>
      <x:c r="H30" s="19" t="str">
        <x:v>Integration/E2E</x:v>
      </x:c>
      <x:c r="I30" s="19" t="str">
        <x:v>Inte körd mot systemet</x:v>
      </x:c>
      <x:c r="J30" s="19" t="str"/>
    </x:row>
    <x:row r="31" ht="36.599998474121094" customHeight="1">
      <x:c r="A31" s="19" t="str">
        <x:v>SC-027</x:v>
      </x:c>
      <x:c r="B31" s="19" t="str">
        <x:v>Tidsbegränsat V-tillstånd jämfört med VH</x:v>
      </x:c>
      <x:c r="C31" s="19" t="str">
        <x:v>Ett V-tillstånd har ett slutdatum, ett V gäller tills vidare och ett VH avser en historisk period.</x:v>
      </x:c>
      <x:c r="D31" s="19" t="str">
        <x:v>Bygg varje tillämplig rapportperiod.</x:v>
      </x:c>
      <x:c r="E31" s="19" t="str">
        <x:v>DTM+91 finns för tidsbegränsat V och för VH; utelämnas för V utan slutdatum.</x:v>
      </x:c>
      <x:c r="F31" s="19" t="str">
        <x:v>Rapportslut får inte kopplas enbart till historiktypen.</x:v>
      </x:c>
      <x:c r="G31" s="19" t="str">
        <x:v>ESCO-02; P-07</x:v>
      </x:c>
      <x:c r="H31" s="19" t="str">
        <x:v>Integration/E2E</x:v>
      </x:c>
      <x:c r="I31" s="19" t="str">
        <x:v>Inte körd mot systemet</x:v>
      </x:c>
      <x:c r="J31" s="19" t="str"/>
    </x:row>
    <x:row r="32" ht="36.599998474121094" customHeight="1">
      <x:c r="A32" s="19" t="str">
        <x:v>SC-028</x:v>
      </x:c>
      <x:c r="B32" s="19" t="str">
        <x:v>Energiproduktens komponentposition</x:v>
      </x:c>
      <x:c r="C32" s="19" t="str">
        <x:v>Z13 eller Z14 innehåller generiskt energiprodukt-id, fält 506.</x:v>
      </x:c>
      <x:c r="D32" s="19" t="str">
        <x:v>Serialisera och parsa meddelandet.</x:v>
      </x:c>
      <x:c r="E32" s="19" t="str">
        <x:v>Den andra förekomsten av 7110 bevaras som femte komponent i CAV.</x:v>
      </x:c>
      <x:c r="F32" s="19" t="str">
        <x:v>Tomma komponenter får inte tas bort så att uppgiften flyttas till produktkod, fält 242.</x:v>
      </x:c>
      <x:c r="G32" s="19" t="str">
        <x:v>ENV-02; P-07</x:v>
      </x:c>
      <x:c r="H32" s="19" t="str">
        <x:v>Integration/E2E</x:v>
      </x:c>
      <x:c r="I32" s="19" t="str">
        <x:v>Inte körd mot systemet</x:v>
      </x:c>
      <x:c r="J32" s="19" t="str"/>
    </x:row>
    <x:row r="33" ht="36.599998474121094" customHeight="1">
      <x:c r="A33" s="19" t="str">
        <x:v>SC-029</x:v>
      </x:c>
      <x:c r="B33" s="19" t="str">
        <x:v>Z09D: start eller slut på avtal</x:v>
      </x:c>
      <x:c r="C33" s="19" t="str">
        <x:v>Det finns separata korrekta avsikter för avtalsstart och avtalsslut.</x:v>
      </x:c>
      <x:c r="D33" s="19" t="str">
        <x:v>Bygg dessa, och prova ett inkommande meddelande med båda datumen.</x:v>
      </x:c>
      <x:c r="E33" s="19" t="str">
        <x:v>Använd DTM+92 eller DTM+93. Ett inkommande meddelande med båda ger P-APERAK med ERC 40 och särskild kod 109.</x:v>
      </x:c>
      <x:c r="F33" s="19" t="str">
        <x:v>DTM+157 får inte ersätta avtalsdatumen.</x:v>
      </x:c>
      <x:c r="G33" s="19" t="str">
        <x:v>P-08</x:v>
      </x:c>
      <x:c r="H33" s="19" t="str">
        <x:v>Integration/E2E</x:v>
      </x:c>
      <x:c r="I33" s="19" t="str">
        <x:v>Inte körd mot systemet</x:v>
      </x:c>
      <x:c r="J33" s="19" t="str"/>
    </x:row>
    <x:row r="34" ht="36.599998474121094" customHeight="1">
      <x:c r="A34" s="19" t="str">
        <x:v>SC-030</x:v>
      </x:c>
      <x:c r="B34" s="19" t="str">
        <x:v>Z09E innehåller elanvändaren</x:v>
      </x:c>
      <x:c r="C34" s="19" t="str">
        <x:v>Z09E gäller en kundhändelse som är tillåten i den valda processen.</x:v>
      </x:c>
      <x:c r="D34" s="19" t="str">
        <x:v>Bygg Z09E enligt den specifika profilen.</x:v>
      </x:c>
      <x:c r="E34" s="19" t="str">
        <x:v>NAD+UD och tillämpliga kunduppgifter finns med.</x:v>
      </x:c>
      <x:c r="F34" s="19" t="str">
        <x:v>Ta inte bort UD för samtliga Z09-varianter.</x:v>
      </x:c>
      <x:c r="G34" s="19" t="str">
        <x:v>P-09</x:v>
      </x:c>
      <x:c r="H34" s="19" t="str">
        <x:v>Integration/E2E</x:v>
      </x:c>
      <x:c r="I34" s="19" t="str">
        <x:v>Inte körd mot systemet</x:v>
      </x:c>
      <x:c r="J34" s="19" t="str"/>
    </x:row>
    <x:row r="35" ht="36.599998474121094" customHeight="1">
      <x:c r="A35" s="19" t="str">
        <x:v>SC-031</x:v>
      </x:c>
      <x:c r="B35" s="19" t="str">
        <x:v>Extra, icke tillämpliga PRODAT-uppgifter</x:v>
      </x:c>
      <x:c r="C35" s="19" t="str">
        <x:v>Syntaxen är giltig men meddelandet innehåller extra uppgifter som ska ignoreras enligt PRODAT-anvisningen.</x:v>
      </x:c>
      <x:c r="D35" s="19" t="str">
        <x:v>Gör mottagningskontrollen.</x:v>
      </x:c>
      <x:c r="E35" s="19" t="str">
        <x:v>Ingen negativ APERAK enbart för dessa extrauppgifter; uppgifterna påverkar inte affärsdata.</x:v>
      </x:c>
      <x:c r="F35" s="19" t="str">
        <x:v>Mottagningstoleransen innebär inte att den egna byggaren ska börja skicka dessa uppgifter.</x:v>
      </x:c>
      <x:c r="G35" s="19" t="str">
        <x:v>P-02</x:v>
      </x:c>
      <x:c r="H35" s="19" t="str">
        <x:v>Integration/E2E</x:v>
      </x:c>
      <x:c r="I35" s="19" t="str">
        <x:v>Inte körd mot systemet</x:v>
      </x:c>
      <x:c r="J35" s="19" t="str"/>
    </x:row>
    <x:row r="36" ht="36.599998474121094" customHeight="1">
      <x:c r="A36" s="19" t="str">
        <x:v>SC-032</x:v>
      </x:c>
      <x:c r="B36" s="19" t="str">
        <x:v>Ett falskt D-villkor kan ge frivillig uppgift</x:v>
      </x:c>
      <x:c r="C36" s="19" t="str">
        <x:v>Z06E eller Z06G innehåller ett fält vars specificerade villkor gör det obligatoriskt endast i Z06F och annars frivilligt.</x:v>
      </x:c>
      <x:c r="D36" s="19" t="str">
        <x:v>Prova både med och utan fältet.</x:v>
      </x:c>
      <x:c r="E36" s="19" t="str">
        <x:v>Den föreskrivna O-grenen används; falskt D-villkor gör inte alltid fältet till X.</x:v>
      </x:c>
      <x:c r="F36" s="19" t="str">
        <x:v>Inför ingen strängare mottagningsregel utan källstöd.</x:v>
      </x:c>
      <x:c r="G36" s="19" t="str">
        <x:v>P-03</x:v>
      </x:c>
      <x:c r="H36" s="19" t="str">
        <x:v>Integration/E2E</x:v>
      </x:c>
      <x:c r="I36" s="19" t="str">
        <x:v>Inte körd mot systemet</x:v>
      </x:c>
      <x:c r="J36" s="19" t="str"/>
    </x:row>
    <x:row r="37" ht="50.400001525878906" customHeight="1">
      <x:c r="A37" s="19" t="str">
        <x:v>SC-033</x:v>
      </x:c>
      <x:c r="B37" s="19" t="str">
        <x:v>Flera register och flera objekt</x:v>
      </x:c>
      <x:c r="C37" s="19" t="str">
        <x:v>Z04 eller Z10 innehåller flera mätarregister och två separata objekt.</x:v>
      </x:c>
      <x:c r="D37" s="19" t="str">
        <x:v>Bygg och behandla meddelandet.</x:v>
      </x:c>
      <x:c r="E37" s="19" t="str">
        <x:v>Globalt LIN-sekvensnummer, fält 314, och registerindex, fält 258, följer respektive regel. Register 2 och högre följer bilaga 2.</x:v>
      </x:c>
      <x:c r="F37" s="19" t="str">
        <x:v>Ett fel i andra registret får inte döljas av första. Alla basmatrisens R-fält ska inte krävas upprepade gånger utan stöd.</x:v>
      </x:c>
      <x:c r="G37" s="19" t="str">
        <x:v>P-05; ENV-02</x:v>
      </x:c>
      <x:c r="H37" s="19" t="str">
        <x:v>Integration/E2E</x:v>
      </x:c>
      <x:c r="I37" s="19" t="str">
        <x:v>Inte körd mot systemet</x:v>
      </x:c>
      <x:c r="J37" s="19" t="str"/>
    </x:row>
    <x:row r="38" ht="36.599998474121094" customHeight="1">
      <x:c r="A38" s="19" t="str">
        <x:v>SC-034</x:v>
      </x:c>
      <x:c r="B38" s="19" t="str">
        <x:v>Felaktig LIN-sekvens</x:v>
      </x:c>
      <x:c r="C38" s="19" t="str">
        <x:v>Första LIN-numret är 2, eller sekvensen har en lucka eller fel ordning. Syntaxen är i övrigt giltig.</x:v>
      </x:c>
      <x:c r="D38" s="19" t="str">
        <x:v>Gör den nationella kontrollen.</x:v>
      </x:c>
      <x:c r="E38" s="19" t="str">
        <x:v>Hela PRODAT-meddelandet avvisas med rätt P-APERAK och BGM/1225 = 27.</x:v>
      </x:c>
      <x:c r="F38" s="19" t="str">
        <x:v>Korrekt UNH/UNT räcker inte för att godkänna den nationella sekvensen.</x:v>
      </x:c>
      <x:c r="G38" s="19" t="str">
        <x:v>P-17</x:v>
      </x:c>
      <x:c r="H38" s="19" t="str">
        <x:v>Integration/E2E</x:v>
      </x:c>
      <x:c r="I38" s="19" t="str">
        <x:v>Inte körd mot systemet</x:v>
      </x:c>
      <x:c r="J38" s="19" t="str"/>
    </x:row>
    <x:row r="39" ht="36.599998474121094" customHeight="1">
      <x:c r="A39" s="19" t="str">
        <x:v>SC-035</x:v>
      </x:c>
      <x:c r="B39" s="19" t="str">
        <x:v>Z02 verifierar uppgifter, inte leverans</x:v>
      </x:c>
      <x:c r="C39" s="19" t="str">
        <x:v>En behörig uppgiftsförfrågan kan entydigt korreleras.</x:v>
      </x:c>
      <x:c r="D39" s="19" t="str">
        <x:v>Ta emot ett giltigt Z02.</x:v>
      </x:c>
      <x:c r="E39" s="19" t="str">
        <x:v>Lagra tillåten verifierad information och gör en separat prövning av nästa affärssteg.</x:v>
      </x:c>
      <x:c r="F39" s="19" t="str">
        <x:v>Skapa inte aktiv leverans eller ett Z04-bekräftat tillstånd.</x:v>
      </x:c>
      <x:c r="G39" s="19" t="str">
        <x:v>P-10</x:v>
      </x:c>
      <x:c r="H39" s="19" t="str">
        <x:v>Integration/E2E</x:v>
      </x:c>
      <x:c r="I39" s="19" t="str">
        <x:v>Inte körd mot systemet</x:v>
      </x:c>
      <x:c r="J39" s="19" t="str"/>
    </x:row>
    <x:row r="40" ht="36.599998474121094" customHeight="1">
      <x:c r="A40" s="19" t="str">
        <x:v>SC-036</x:v>
      </x:c>
      <x:c r="B40" s="19" t="str">
        <x:v>Z04 anländer före positiv APERAK</x:v>
      </x:c>
      <x:c r="C40" s="19" t="str">
        <x:v>Z03 har skickats. Ett korrekt korrelerat Z04 anländer före positiv APERAK.</x:v>
      </x:c>
      <x:c r="D40" s="19" t="str">
        <x:v>Behandla först Z04 och sedan APERAK.</x:v>
      </x:c>
      <x:c r="E40" s="19" t="str">
        <x:v>Registrera den bekräftade perioden. Den sena APERAK kompletterar kvittensstatus utan att backa affärstillståndet.</x:v>
      </x:c>
      <x:c r="F40" s="19" t="str">
        <x:v>Avvisa inte Z04 enbart på grund av ankomstordningen.</x:v>
      </x:c>
      <x:c r="G40" s="19" t="str">
        <x:v>P-11; ACK-06</x:v>
      </x:c>
      <x:c r="H40" s="19" t="str">
        <x:v>Integration/E2E</x:v>
      </x:c>
      <x:c r="I40" s="19" t="str">
        <x:v>Inte körd mot systemet</x:v>
      </x:c>
      <x:c r="J40" s="19" t="str"/>
    </x:row>
    <x:row r="41" ht="36.599998474121094" customHeight="1">
      <x:c r="A41" s="19" t="str">
        <x:v>SC-037</x:v>
      </x:c>
      <x:c r="B41" s="19" t="str">
        <x:v>Leveransstart ligger i framtiden</x:v>
      </x:c>
      <x:c r="C41" s="19" t="str">
        <x:v>Ett korrekt Z04 har mottagits med ett framtida startdatum.</x:v>
      </x:c>
      <x:c r="D41" s="19" t="str">
        <x:v>Kör aktiveringsjobbet före och vid starttidpunkten.</x:v>
      </x:c>
      <x:c r="E41" s="19" t="str">
        <x:v>Ingen förtida aktivering. Endast rätt, fortsatt giltiga period aktiveras vid rätt start.</x:v>
      </x:c>
      <x:c r="F41" s="19" t="str">
        <x:v>SMTP-acceptans eller en teknisk kvittens får inte tidigarelägga startdatumet.</x:v>
      </x:c>
      <x:c r="G41" s="19" t="str">
        <x:v>P-11</x:v>
      </x:c>
      <x:c r="H41" s="19" t="str">
        <x:v>Integration/E2E</x:v>
      </x:c>
      <x:c r="I41" s="19" t="str">
        <x:v>Inte körd mot systemet</x:v>
      </x:c>
      <x:c r="J41" s="19" t="str"/>
    </x:row>
    <x:row r="42" ht="36.599998474121094" customHeight="1">
      <x:c r="A42" s="19" t="str">
        <x:v>SC-038</x:v>
      </x:c>
      <x:c r="B42" s="19" t="str">
        <x:v>Z04A och Z04D utan egen Z03</x:v>
      </x:c>
      <x:c r="C42" s="19" t="str">
        <x:v>Rätt särskild grund för anvisning respektive mottagningspliktig produktion finns.</x:v>
      </x:c>
      <x:c r="D42" s="19" t="str">
        <x:v>Ta emot respektive meddelande.</x:v>
      </x:c>
      <x:c r="E42" s="19" t="str">
        <x:v>Använd särskild process och dess kontroller.</x:v>
      </x:c>
      <x:c r="F42" s="19" t="str">
        <x:v>Ett generellt krav på en föregående egen Z03 får inte blockera dessa korrekta specialprocesser.</x:v>
      </x:c>
      <x:c r="G42" s="19" t="str">
        <x:v>P-12</x:v>
      </x:c>
      <x:c r="H42" s="19" t="str">
        <x:v>Integration/E2E</x:v>
      </x:c>
      <x:c r="I42" s="19" t="str">
        <x:v>Inte körd mot systemet</x:v>
      </x:c>
      <x:c r="J42" s="19" t="str"/>
    </x:row>
    <x:row r="43" ht="50.400001525878906" customHeight="1">
      <x:c r="A43" s="19" t="str">
        <x:v>SC-039</x:v>
      </x:c>
      <x:c r="B43" s="19" t="str">
        <x:v>Kancellering anländer före originalet</x:v>
      </x:c>
      <x:c r="C43" s="19" t="str">
        <x:v>Original och kancellering kommer från rätt motpart men anländer i omvänd ordning.</x:v>
      </x:c>
      <x:c r="D43" s="19" t="str">
        <x:v>Bearbeta enligt tillämplig korrelations- och kancelleringsregel.</x:v>
      </x:c>
      <x:c r="E43" s="19" t="str">
        <x:v>Bevara båda meddelandena och deras orsakskedja. Eventuell intern väntan måste hålla föreskrivna kvittensfrister; annars krävs rätt externt utfall eller kontakt.</x:v>
      </x:c>
      <x:c r="F43" s="19" t="str">
        <x:v>Ingen dubbel aktivering, tyst bortkastning eller gissad kompensation mot ett annat original.</x:v>
      </x:c>
      <x:c r="G43" s="19" t="str">
        <x:v>P-14</x:v>
      </x:c>
      <x:c r="H43" s="19" t="str">
        <x:v>Integration/E2E</x:v>
      </x:c>
      <x:c r="I43" s="19" t="str">
        <x:v>Inte körd mot systemet</x:v>
      </x:c>
      <x:c r="J43" s="19" t="str"/>
    </x:row>
    <x:row r="44" ht="36.599998474121094" customHeight="1">
      <x:c r="A44" s="19" t="str">
        <x:v>SC-040</x:v>
      </x:c>
      <x:c r="B44" s="19" t="str">
        <x:v>Rättelse efter negativ APERAK</x:v>
      </x:c>
      <x:c r="C44" s="19" t="str">
        <x:v>En identifierad del av ett eget PRODAT har avvisats.</x:v>
      </x:c>
      <x:c r="D44" s="19" t="str">
        <x:v>Rätta uppgiften och skapa en tillåten ny sändning.</x:v>
      </x:c>
      <x:c r="E44" s="19" t="str">
        <x:v>Nytt BGM-id och spårbar relation till det oförändrat arkiverade originalet.</x:v>
      </x:c>
      <x:c r="F44" s="19" t="str">
        <x:v>Återanvänd inte meddelandeidentiteten från den avvisade sändningen.</x:v>
      </x:c>
      <x:c r="G44" s="19" t="str">
        <x:v>TR-05</x:v>
      </x:c>
      <x:c r="H44" s="19" t="str">
        <x:v>Integration/E2E</x:v>
      </x:c>
      <x:c r="I44" s="19" t="str">
        <x:v>Inte körd mot systemet</x:v>
      </x:c>
      <x:c r="J44" s="19" t="str"/>
    </x:row>
    <x:row r="45" ht="36.599998474121094" customHeight="1">
      <x:c r="A45" s="19" t="str">
        <x:v>SC-041</x:v>
      </x:c>
      <x:c r="B45" s="19" t="str">
        <x:v>CONTRL-begäran och skydd mot kvittensloop</x:v>
      </x:c>
      <x:c r="C45" s="19" t="str">
        <x:v>PRODAT, APERAK och CONTRL ska byggas.</x:v>
      </x:c>
      <x:c r="D45" s="19" t="str">
        <x:v>Serialisera respektive kuvert.</x:v>
      </x:c>
      <x:c r="E45" s="19" t="str">
        <x:v>UNB/0031 = 1 för kvittenspliktig PRODAT och APERAK. CONTRL begär inte en ny CONTRL och använder rätt UNH-version, CONTRL:2:2:UN.</x:v>
      </x:c>
      <x:c r="F45" s="19" t="str">
        <x:v>BGM-koden AB ersätter inte UNB/0031. Ingen kvittensloop får skapas.</x:v>
      </x:c>
      <x:c r="G45" s="19" t="str">
        <x:v>ENV-04; ACK-01</x:v>
      </x:c>
      <x:c r="H45" s="19" t="str">
        <x:v>Integration/E2E</x:v>
      </x:c>
      <x:c r="I45" s="19" t="str">
        <x:v>Inte körd mot systemet</x:v>
      </x:c>
      <x:c r="J45" s="19" t="str"/>
    </x:row>
    <x:row r="46" ht="50.400001525878906" customHeight="1">
      <x:c r="A46" s="19" t="str">
        <x:v>SC-042</x:v>
      </x:c>
      <x:c r="B46" s="19" t="str">
        <x:v>De två APERAK-familjerna</x:v>
      </x:c>
      <x:c r="C46" s="19" t="str">
        <x:v>Ett PRODAT-fel och ett UTILTS-fel ska besvaras.</x:v>
      </x:c>
      <x:c r="D46" s="19" t="str">
        <x:v>Bygg respektive svar från originalets profil och utfall.</x:v>
      </x:c>
      <x:c r="E46" s="19" t="str">
        <x:v>P-APERAK använder D96A, BGM/1225 34 eller 27 och originalreferenser enligt P. U-APERAK använder D04A, BGM/1001 312 eller 313 samt DOC och transaktionsreferenser där de ska finnas.</x:v>
      </x:c>
      <x:c r="F46" s="19" t="str">
        <x:v>Blanda inte familjernas BGM-positioner, referenser eller gruppstrukturer.</x:v>
      </x:c>
      <x:c r="G46" s="19" t="str">
        <x:v>ACK-02; ACK-03</x:v>
      </x:c>
      <x:c r="H46" s="19" t="str">
        <x:v>Integration/E2E</x:v>
      </x:c>
      <x:c r="I46" s="19" t="str">
        <x:v>Inte körd mot systemet</x:v>
      </x:c>
      <x:c r="J46" s="19" t="str"/>
    </x:row>
    <x:row r="47" ht="36.599998474121094" customHeight="1">
      <x:c r="A47" s="19" t="str">
        <x:v>SC-043</x:v>
      </x:c>
      <x:c r="B47" s="19" t="str">
        <x:v>Rätt fältnummer i felmeddelandet</x:v>
      </x:c>
      <x:c r="C47" s="19" t="str">
        <x:v>Ett PRODAT saknar fält 327 och ett UTILTS saknar fält 512 i fall där de är obligatoriska.</x:v>
      </x:c>
      <x:c r="D47" s="19" t="str">
        <x:v>Skapa respektive negativa APERAK.</x:v>
      </x:c>
      <x:c r="E47" s="19" t="str">
        <x:v>ERC 41 med fältreferens 327 respektive 512 i familjens rätta FTX-format.</x:v>
      </x:c>
      <x:c r="F47" s="19" t="str">
        <x:v>Gissa inte 273 eller 597 genom att plocka siffror ur ett DTM-segmentnamn.</x:v>
      </x:c>
      <x:c r="G47" s="19" t="str">
        <x:v>P-01; ACK-04</x:v>
      </x:c>
      <x:c r="H47" s="19" t="str">
        <x:v>Integration/E2E</x:v>
      </x:c>
      <x:c r="I47" s="19" t="str">
        <x:v>Inte körd mot systemet</x:v>
      </x:c>
      <x:c r="J47" s="19" t="str"/>
    </x:row>
    <x:row r="48" ht="36.599998474121094" customHeight="1">
      <x:c r="A48" s="19" t="str">
        <x:v>SC-044</x:v>
      </x:c>
      <x:c r="B48" s="19" t="str">
        <x:v>Blandade UTILTS-transaktioner</x:v>
      </x:c>
      <x:c r="C48" s="19" t="str">
        <x:v>IDE 1 är korrekt. IDE 2 har anvisningsfel. IDE 3 passerar anvisningskontrollen men har funktionsfel. Huvudet är korrekt.</x:v>
      </x:c>
      <x:c r="D48" s="19" t="str">
        <x:v>Kör hela kontrollkedjan.</x:v>
      </x:c>
      <x:c r="E48" s="19" t="str">
        <x:v>IDE 1 lagras och får positiv APERAK. IDE 2 får negativ APERAK. IDE 3 får UTILTS-ERR enligt tillämplig orsak.</x:v>
      </x:c>
      <x:c r="F48" s="19" t="str">
        <x:v>En global klassificering får inte ersätta IDE 2:s anvisningsfel med ett senare funktionsfel.</x:v>
      </x:c>
      <x:c r="G48" s="19" t="str">
        <x:v>U-03; ACK-08</x:v>
      </x:c>
      <x:c r="H48" s="19" t="str">
        <x:v>Integration/E2E</x:v>
      </x:c>
      <x:c r="I48" s="19" t="str">
        <x:v>Inte körd mot systemet</x:v>
      </x:c>
      <x:c r="J48" s="19" t="str"/>
    </x:row>
    <x:row r="49" ht="36.599998474121094" customHeight="1">
      <x:c r="A49" s="19" t="str">
        <x:v>SC-045</x:v>
      </x:c>
      <x:c r="B49" s="19" t="str">
        <x:v>UTILTS har fel i huvudet</x:v>
      </x:c>
      <x:c r="C49" s="19" t="str">
        <x:v>Ett obligatoriskt nationellt huvudfält är fel och det finns dessutom fel längre ned.</x:v>
      </x:c>
      <x:c r="D49" s="19" t="str">
        <x:v>Validera meddelandet.</x:v>
      </x:c>
      <x:c r="E49" s="19" t="str">
        <x:v>Negativ U-APERAK på huvudnivå. Inga efterföljande funktionskontroller och inga påhittade originaltransaktionsreferenser.</x:v>
      </x:c>
      <x:c r="F49" s="19" t="str">
        <x:v>Välj inte exempelvis E10 innan huvudfelet hanterats.</x:v>
      </x:c>
      <x:c r="G49" s="19" t="str">
        <x:v>U-03; ACK-03</x:v>
      </x:c>
      <x:c r="H49" s="19" t="str">
        <x:v>Integration/E2E</x:v>
      </x:c>
      <x:c r="I49" s="19" t="str">
        <x:v>Inte körd mot systemet</x:v>
      </x:c>
      <x:c r="J49" s="19" t="str"/>
    </x:row>
    <x:row r="50" ht="36.599998474121094" customHeight="1">
      <x:c r="A50" s="19" t="str">
        <x:v>SC-046</x:v>
      </x:c>
      <x:c r="B50" s="19" t="str">
        <x:v>Äldre version av mätvärden anländer sist</x:v>
      </x:c>
      <x:c r="C50" s="19" t="str">
        <x:v>En nyare godkänd dataversion finns. Den senare ankomsten har äldre registrerings-/uppdateringstidpunkt, fält 512 eller 532.</x:v>
      </x:c>
      <x:c r="D50" s="19" t="str">
        <x:v>Behandla den äldre transaktionen som i övrigt är korrekt.</x:v>
      </x:c>
      <x:c r="E50" s="19" t="str">
        <x:v>Positiv APERAK enligt regeln. Den nyare aktiva dataversionen skrivs inte över.</x:v>
      </x:c>
      <x:c r="F50" s="19" t="str">
        <x:v>Ingen UTILTS-ERR eller tyst omfakturering enbart på grund av ankomstordningen.</x:v>
      </x:c>
      <x:c r="G50" s="19" t="str">
        <x:v>U-04</x:v>
      </x:c>
      <x:c r="H50" s="19" t="str">
        <x:v>Integration/E2E</x:v>
      </x:c>
      <x:c r="I50" s="19" t="str">
        <x:v>Inte körd mot systemet</x:v>
      </x:c>
      <x:c r="J50" s="19" t="str"/>
    </x:row>
    <x:row r="51" ht="50.400001525878906" customHeight="1">
      <x:c r="A51" s="19" t="str">
        <x:v>SC-047</x:v>
      </x:c>
      <x:c r="B51" s="19" t="str">
        <x:v>Okänt objekt i rätt mottagarsammanhang</x:v>
      </x:c>
      <x:c r="C51" s="19" t="str">
        <x:v>Syntax och nationell anvisningskontroll har passerat. Rätt juridisk mottagare och roll är fastställda men objektet är okänt enligt den tillämpliga funktionskontrollen.</x:v>
      </x:c>
      <x:c r="D51" s="19" t="str">
        <x:v>Pröva objektkontrollen.</x:v>
      </x:c>
      <x:c r="E51" s="19" t="str">
        <x:v>UTILTS-ERR E10 där detta är kontrollens föreskrivna utfall.</x:v>
      </x:c>
      <x:c r="F51" s="19" t="str">
        <x:v>Skapa inte ett nytt kundobjekt eller sök i andra tenants för att få kontrollen grön.</x:v>
      </x:c>
      <x:c r="G51" s="19" t="str">
        <x:v>U-03; TEN-11</x:v>
      </x:c>
      <x:c r="H51" s="19" t="str">
        <x:v>Integration/E2E</x:v>
      </x:c>
      <x:c r="I51" s="19" t="str">
        <x:v>Inte körd mot systemet</x:v>
      </x:c>
      <x:c r="J51" s="19" t="str"/>
    </x:row>
    <x:row r="52" ht="36.599998474121094" customHeight="1">
      <x:c r="A52" s="19" t="str">
        <x:v>SC-048</x:v>
      </x:c>
      <x:c r="B52" s="19" t="str">
        <x:v>Fel period men rätt objekt</x:v>
      </x:c>
      <x:c r="C52" s="19" t="str">
        <x:v>Avsändare och objekt är korrekta men perioden bryter ett tillämpligt funktionsvillkor.</x:v>
      </x:c>
      <x:c r="D52" s="19" t="str">
        <x:v>Pröva periodkontrollen efter föregående steg.</x:v>
      </x:c>
      <x:c r="E52" s="19" t="str">
        <x:v>UTILTS-ERR E50 när denna kontroll är utlösande.</x:v>
      </x:c>
      <x:c r="F52" s="19" t="str">
        <x:v>Använd inte E10 som generell kod för alla valideringsfel.</x:v>
      </x:c>
      <x:c r="G52" s="19" t="str">
        <x:v>U-03</x:v>
      </x:c>
      <x:c r="H52" s="19" t="str">
        <x:v>Integration/E2E</x:v>
      </x:c>
      <x:c r="I52" s="19" t="str">
        <x:v>Inte körd mot systemet</x:v>
      </x:c>
      <x:c r="J52" s="19" t="str"/>
    </x:row>
    <x:row r="53" ht="36.599998474121094" customHeight="1">
      <x:c r="A53" s="19" t="str">
        <x:v>SC-049</x:v>
      </x:c>
      <x:c r="B53" s="19" t="str">
        <x:v>ESCO saknar struktur som inte föreskrivits i Z14</x:v>
      </x:c>
      <x:c r="C53" s="19" t="str">
        <x:v>Ett giltigt Z14 etablerar rätt objekt men innehåller inte mätar-/registeruppgifter som inte ska skickas i denna profil.</x:v>
      </x:c>
      <x:c r="D53" s="19" t="str">
        <x:v>Validera E66 enligt källans tillämpliga villkor.</x:v>
      </x:c>
      <x:c r="E53" s="19" t="str">
        <x:v>Använd villkoren för kontroll mot erhållen struktur. Lokalt saknade, ej föreskrivna fält får inte bli ett påhittat PRODAT-krav.</x:v>
      </x:c>
      <x:c r="F53" s="19" t="str">
        <x:v>Ett godtyckligt E61 eller E62 på grund av lokal kunskapsbrist är inte ett godkänt testfacit.</x:v>
      </x:c>
      <x:c r="G53" s="19" t="str">
        <x:v>U-08</x:v>
      </x:c>
      <x:c r="H53" s="19" t="str">
        <x:v>Integration/E2E</x:v>
      </x:c>
      <x:c r="I53" s="19" t="str">
        <x:v>Inte körd mot systemet</x:v>
      </x:c>
      <x:c r="J53" s="19" t="str"/>
    </x:row>
    <x:row r="54" ht="36.599998474121094" customHeight="1">
      <x:c r="A54" s="19" t="str">
        <x:v>SC-050</x:v>
      </x:c>
      <x:c r="B54" s="19" t="str">
        <x:v>88 av 96 kvartar</x:v>
      </x:c>
      <x:c r="C54" s="19" t="str">
        <x:v>Ett helt 24-timmarsintervall i +0100 rapporteras med 15-minutersupplösning och 88 energivärden. Energisumman råkar stämma.</x:v>
      </x:c>
      <x:c r="D54" s="19" t="str">
        <x:v>Kontrollera antal observationer efter att tidigare kontroller passerat.</x:v>
      </x:c>
      <x:c r="E54" s="19" t="str">
        <x:v>UTILTS-ERR E87 där antalskontrollen är tillämplig; luckan synliggörs.</x:v>
      </x:c>
      <x:c r="F54" s="19" t="str">
        <x:v>Korrekt energisumma får inte maskera saknade observationer.</x:v>
      </x:c>
      <x:c r="G54" s="19" t="str">
        <x:v>U-10; U-11</x:v>
      </x:c>
      <x:c r="H54" s="19" t="str">
        <x:v>Integration/E2E</x:v>
      </x:c>
      <x:c r="I54" s="19" t="str">
        <x:v>Inte körd mot systemet</x:v>
      </x:c>
      <x:c r="J54" s="19" t="str"/>
    </x:row>
    <x:row r="55" ht="36.599998474121094" customHeight="1">
      <x:c r="A55" s="19" t="str">
        <x:v>SC-051</x:v>
      </x:c>
      <x:c r="B55" s="19" t="str">
        <x:v>Versionsgränsen i oktober</x:v>
      </x:c>
      <x:c r="C55" s="19" t="str">
        <x:v>Båda revisionerna använder UNH-koden E5SE5A men olika nationella regler gäller före och från 2026-10-01.</x:v>
      </x:c>
      <x:c r="D55" s="19" t="str">
        <x:v>Prova mottagning, sändning, omsändning och historisk återspelning.</x:v>
      </x:c>
      <x:c r="E55" s="19" t="str">
        <x:v>Ett sammanhållet, spårbart regelval per behandling. Nya 25-A-4-regler aktiveras inte före sin giltighet.</x:v>
      </x:c>
      <x:c r="F55" s="19" t="str">
        <x:v>Oberoende datumval i olika lager får inte ge två motstridiga regelrevisioner.</x:v>
      </x:c>
      <x:c r="G55" s="19" t="str">
        <x:v>GOV-04; GOV-05; GOV-06</x:v>
      </x:c>
      <x:c r="H55" s="19" t="str">
        <x:v>Integration/E2E</x:v>
      </x:c>
      <x:c r="I55" s="19" t="str">
        <x:v>Inte körd mot systemet</x:v>
      </x:c>
      <x:c r="J55" s="19" t="str"/>
    </x:row>
    <x:row r="56" ht="36.599998474121094" customHeight="1">
      <x:c r="A56" s="19" t="str">
        <x:v>SC-052</x:v>
      </x:c>
      <x:c r="B56" s="19" t="str">
        <x:v>E73 begär E66 i DGI-rollen</x:v>
      </x:c>
      <x:c r="C56" s="19" t="str">
        <x:v>ESCO har rätt omfattning, tillämpligt tillstånd och verifierad bilateral kapabilitet för begäran.</x:v>
      </x:c>
      <x:c r="D56" s="19" t="str">
        <x:v>Bygg en begäran om saknade E66-värden.</x:v>
      </x:c>
      <x:c r="E56" s="19" t="str">
        <x:v>Application Reference motsvarar den begärda E66-DGI-profilen. Efterfrågad meddelandetyp är uttrycklig.</x:v>
      </x:c>
      <x:c r="F56" s="19" t="str">
        <x:v>Härled inte en generell E73-referens och anta inte rätt till S02 bara för att E73 kan begära S02 i en annan roll.</x:v>
      </x:c>
      <x:c r="G56" s="19" t="str">
        <x:v>U-06</x:v>
      </x:c>
      <x:c r="H56" s="19" t="str">
        <x:v>Integration/E2E</x:v>
      </x:c>
      <x:c r="I56" s="19" t="str">
        <x:v>Inte körd mot systemet</x:v>
      </x:c>
      <x:c r="J56" s="19" t="str"/>
    </x:row>
    <x:row r="57" ht="36.599998474121094" customHeight="1">
      <x:c r="A57" s="19" t="str">
        <x:v>SC-053</x:v>
      </x:c>
      <x:c r="B57" s="19" t="str">
        <x:v>NULL skiljs från noll</x:v>
      </x:c>
      <x:c r="C57" s="19" t="str">
        <x:v>En observation saknas och representeras enligt profilens NULL-regel. En annan innehåller ett verifierat nollvärde.</x:v>
      </x:c>
      <x:c r="D57" s="19" t="str">
        <x:v>Lagra data och bygg behörigt underlag.</x:v>
      </x:c>
      <x:c r="E57" s="19" t="str">
        <x:v>Skilda värde- och kvalitetsrepresentationer; ingen automatisk nollifyllnad.</x:v>
      </x:c>
      <x:c r="F57" s="19" t="str">
        <x:v>Mätarställning, energi och effekt får inte blandas ihop.</x:v>
      </x:c>
      <x:c r="G57" s="19" t="str">
        <x:v>U-09</x:v>
      </x:c>
      <x:c r="H57" s="19" t="str">
        <x:v>Integration/E2E</x:v>
      </x:c>
      <x:c r="I57" s="19" t="str">
        <x:v>Inte körd mot systemet</x:v>
      </x:c>
      <x:c r="J57" s="19" t="str"/>
    </x:row>
    <x:row r="58" ht="36.599998474121094" customHeight="1">
      <x:c r="A58" s="19" t="str">
        <x:v>SC-054</x:v>
      </x:c>
      <x:c r="B58" s="19" t="str">
        <x:v>Lagringen misslyckas</x:v>
      </x:c>
      <x:c r="C58" s="19" t="str">
        <x:v>UTILTS-transaktionen är korrekt men databastransaktionen misslyckas.</x:v>
      </x:c>
      <x:c r="D58" s="19" t="str">
        <x:v>Pröva skapandet av kvittensjobbet.</x:v>
      </x:c>
      <x:c r="E58" s="19" t="str">
        <x:v>Ingen extern positiv APERAK före beständigt genomförd, föreskriven affärsbehandling. Fel och tidsfrist bevakas.</x:v>
      </x:c>
      <x:c r="F58" s="19" t="str">
        <x:v>Enbart köstatus får inte betraktas som lagring i mottagande applikation.</x:v>
      </x:c>
      <x:c r="G58" s="19" t="str">
        <x:v>U-14</x:v>
      </x:c>
      <x:c r="H58" s="19" t="str">
        <x:v>Integration/E2E</x:v>
      </x:c>
      <x:c r="I58" s="19" t="str">
        <x:v>Inte körd mot systemet</x:v>
      </x:c>
      <x:c r="J58" s="19" t="str"/>
    </x:row>
    <x:row r="59" ht="36.599998474121094" customHeight="1">
      <x:c r="A59" s="19" t="str">
        <x:v>SC-055</x:v>
      </x:c>
      <x:c r="B59" s="19" t="str">
        <x:v>Kvittens hänvisar till en annan aktörs meddelande</x:v>
      </x:c>
      <x:c r="C59" s="19" t="str">
        <x:v>APERAK har en liknande referens men kommer från fel juridisk motpart.</x:v>
      </x:c>
      <x:c r="D59" s="19" t="str">
        <x:v>Försök korrelera kvittensen.</x:v>
      </x:c>
      <x:c r="E59" s="19" t="str">
        <x:v>Ingen ändring i det felaktigt utpekade ärendet; loggad säker hantering.</x:v>
      </x:c>
      <x:c r="F59" s="19" t="str">
        <x:v>Ingen tillståndsändring över tenantgränsen.</x:v>
      </x:c>
      <x:c r="G59" s="19" t="str">
        <x:v>ACK-06</x:v>
      </x:c>
      <x:c r="H59" s="19" t="str">
        <x:v>Integration/E2E</x:v>
      </x:c>
      <x:c r="I59" s="19" t="str">
        <x:v>Inte körd mot systemet</x:v>
      </x:c>
      <x:c r="J59" s="19" t="str"/>
    </x:row>
    <x:row r="60" ht="36.599998474121094" customHeight="1">
      <x:c r="A60" s="19" t="str">
        <x:v>SC-056</x:v>
      </x:c>
      <x:c r="B60" s="19" t="str">
        <x:v>Senare fel efter positiv APERAK</x:v>
      </x:c>
      <x:c r="C60" s="19" t="str">
        <x:v>Ett internt fel upptäcks efter en giltig positiv APERAK för samma objekt/transaktion.</x:v>
      </x:c>
      <x:c r="D60" s="19" t="str">
        <x:v>Pröva ny affärsvalidering.</x:v>
      </x:c>
      <x:c r="E60" s="19" t="str">
        <x:v>Skapa incident och använd källstödd rättelse- eller kontaktprocess, inte en motsatt APERAK för samma tidigare utfall.</x:v>
      </x:c>
      <x:c r="F60" s="19" t="str">
        <x:v>Ett återförsök får inte skriva om kvittenshistoriken.</x:v>
      </x:c>
      <x:c r="G60" s="19" t="str">
        <x:v>ACK-07</x:v>
      </x:c>
      <x:c r="H60" s="19" t="str">
        <x:v>Integration/E2E</x:v>
      </x:c>
      <x:c r="I60" s="19" t="str">
        <x:v>Inte körd mot systemet</x:v>
      </x:c>
      <x:c r="J60" s="19" t="str"/>
    </x:row>
    <x:row r="61" ht="50.400001525878906" customHeight="1">
      <x:c r="A61" s="19" t="str">
        <x:v>SC-057</x:v>
      </x:c>
      <x:c r="B61" s="19" t="str">
        <x:v>Registerimport är idempotent</x:v>
      </x:c>
      <x:c r="C61" s="19" t="str">
        <x:v>Samma fil importeras två gånger. En senare registerversion innehåller tre motstridiga adressändringar.</x:v>
      </x:c>
      <x:c r="D61" s="19" t="str">
        <x:v>Förhandsgranska och applicera kontrollerat.</x:v>
      </x:c>
      <x:c r="E61" s="19" t="str">
        <x:v>Identiska data skapar inte dubbletter. Marknader, roller och rutter bevaras. Motstridiga ändringar får tydlig behandling och körningen får slutstatus.</x:v>
      </x:c>
      <x:c r="F61" s="19" t="str">
        <x:v>En import med noll inlästa rutter får inte beskrivas som fullt sändningsklar. En avbruten körning får inte ligga obevakad som running.</x:v>
      </x:c>
      <x:c r="G61" s="19" t="str">
        <x:v>IMP-01; IMP-02; IMP-03</x:v>
      </x:c>
      <x:c r="H61" s="19" t="str">
        <x:v>Integration/E2E</x:v>
      </x:c>
      <x:c r="I61" s="19" t="str">
        <x:v>Inte körd mot systemet</x:v>
      </x:c>
      <x:c r="J61" s="19" t="str"/>
    </x:row>
    <x:row r="62" ht="36.599998474121094" customHeight="1">
      <x:c r="A62" s="19" t="str">
        <x:v>SC-058</x:v>
      </x:c>
      <x:c r="B62" s="19" t="str">
        <x:v>Samma aktör har olika SMTP för EL och GAS</x:v>
      </x:c>
      <x:c r="C62" s="19" t="str">
        <x:v>Exporten har skilda PRODAT-adresser på de två marknaderna.</x:v>
      </x:c>
      <x:c r="D62" s="19" t="str">
        <x:v>Välj rutt för ett EL-meddelande.</x:v>
      </x:c>
      <x:c r="E62" s="19" t="str">
        <x:v>Använd EL-adressen; GAS är inte reservrutt.</x:v>
      </x:c>
      <x:c r="F62" s="19" t="str">
        <x:v>Använd inte en marknadslös sökning som väljer första träffen.</x:v>
      </x:c>
      <x:c r="G62" s="19" t="str">
        <x:v>IMP-02</x:v>
      </x:c>
      <x:c r="H62" s="19" t="str">
        <x:v>Integration/E2E</x:v>
      </x:c>
      <x:c r="I62" s="19" t="str">
        <x:v>Inte körd mot systemet</x:v>
      </x:c>
      <x:c r="J62" s="19" t="str"/>
    </x:row>
    <x:row r="63" ht="36.599998474121094" customHeight="1">
      <x:c r="A63" s="19" t="str">
        <x:v>SC-059</x:v>
      </x:c>
      <x:c r="B63" s="19" t="str">
        <x:v>Tom registrerad subadress</x:v>
      </x:c>
      <x:c r="C63" s="19" t="str">
        <x:v>Registerversionen anger ingen subadress för den valda aktören och trafiken.</x:v>
      </x:c>
      <x:c r="D63" s="19" t="str">
        <x:v>Bygg rutt- och kuvertprofilen.</x:v>
      </x:c>
      <x:c r="E63" s="19" t="str">
        <x:v>Tom subadress bevaras; ingen universell GRIDEX- eller SCH-standard införs.</x:v>
      </x:c>
      <x:c r="F63" s="19" t="str">
        <x:v>Ändra inte Mjölbys registrerade PRODAT-subadress utan registerstöd.</x:v>
      </x:c>
      <x:c r="G63" s="19" t="str">
        <x:v>IMP-04</x:v>
      </x:c>
      <x:c r="H63" s="19" t="str">
        <x:v>Integration/E2E</x:v>
      </x:c>
      <x:c r="I63" s="19" t="str">
        <x:v>Inte körd mot systemet</x:v>
      </x:c>
      <x:c r="J63" s="19" t="str"/>
    </x:row>
    <x:row r="64" ht="36.599998474121094" customHeight="1">
      <x:c r="A64" s="19" t="str">
        <x:v>SC-060</x:v>
      </x:c>
      <x:c r="B64" s="19" t="str">
        <x:v>Certifikatets exakta giltighet</x:v>
      </x:c>
      <x:c r="C64" s="19" t="str">
        <x:v>Ett certifikat gick ut för en timme sedan, ett börjar gälla i morgon och ett är spärrat.</x:v>
      </x:c>
      <x:c r="D64" s="19" t="str">
        <x:v>Pröva både direkt valt certifikat-id och automatisk kandidatsökning.</x:v>
      </x:c>
      <x:c r="E64" s="19" t="str">
        <x:v>Samtliga dessa certifikat underkänns enligt exakt giltighet och status. Eventuellt reservförfarande prövas separat enligt T.</x:v>
      </x:c>
      <x:c r="F64" s="19" t="str">
        <x:v>Runda inte upp giltighetstiden till noll dagar och kringgå inte kontrollen genom direkt id-val.</x:v>
      </x:c>
      <x:c r="G64" s="19" t="str">
        <x:v>TR-06</x:v>
      </x:c>
      <x:c r="H64" s="19" t="str">
        <x:v>Integration/E2E</x:v>
      </x:c>
      <x:c r="I64" s="19" t="str">
        <x:v>Inte körd mot systemet</x:v>
      </x:c>
      <x:c r="J64" s="19" t="str"/>
    </x:row>
    <x:row r="65" ht="36.599998474121094" customHeight="1">
      <x:c r="A65" s="19" t="str">
        <x:v>SC-061</x:v>
      </x:c>
      <x:c r="B65" s="19" t="str">
        <x:v>Överlappande mottagarcertifikat</x:v>
      </x:c>
      <x:c r="C65" s="19" t="str">
        <x:v>Två giltiga certifikat finns för samma verifierade mottagaromfattning.</x:v>
      </x:c>
      <x:c r="D65" s="19" t="str">
        <x:v>Skapa S/MIME-kuvertet.</x:v>
      </x:c>
      <x:c r="E65" s="19" t="str">
        <x:v>Ta med de mottagarcertifikat som föreskrivs vid överlapp.</x:v>
      </x:c>
      <x:c r="F65" s="19" t="str">
        <x:v>Välj inte enbart senaste certifikat-id som generell regel.</x:v>
      </x:c>
      <x:c r="G65" s="19" t="str">
        <x:v>TR-07</x:v>
      </x:c>
      <x:c r="H65" s="19" t="str">
        <x:v>Integration/E2E</x:v>
      </x:c>
      <x:c r="I65" s="19" t="str">
        <x:v>Inte körd mot systemet</x:v>
      </x:c>
      <x:c r="J65" s="19" t="str"/>
    </x:row>
    <x:row r="66" ht="36.599998474121094" customHeight="1">
      <x:c r="A66" s="19" t="str">
        <x:v>SC-062</x:v>
      </x:c>
      <x:c r="B66" s="19" t="str">
        <x:v>SMTP accepterar men leveransrapport visar fel</x:v>
      </x:c>
      <x:c r="C66" s="19" t="str">
        <x:v>Meddelandet accepteras för köläggning men slutleveransen misslyckas.</x:v>
      </x:c>
      <x:c r="D66" s="19" t="str">
        <x:v>Behandla den inkomna DSN-rapporten.</x:v>
      </x:c>
      <x:c r="E66" s="19" t="str">
        <x:v>Registrera leveransfelet mot rätt sändningsförsök; ingen affärsaktivering.</x:v>
      </x:c>
      <x:c r="F66" s="19" t="str">
        <x:v>Originalets EDIFACT-bilaga i returbrevet får inte importeras som ny marknadstrafik.</x:v>
      </x:c>
      <x:c r="G66" s="19" t="str">
        <x:v>TR-02; TR-04</x:v>
      </x:c>
      <x:c r="H66" s="19" t="str">
        <x:v>Integration/E2E</x:v>
      </x:c>
      <x:c r="I66" s="19" t="str">
        <x:v>Inte körd mot systemet</x:v>
      </x:c>
      <x:c r="J66" s="19" t="str"/>
    </x:row>
    <x:row r="67" ht="36.599998474121094" customHeight="1">
      <x:c r="A67" s="19" t="str">
        <x:v>SC-063</x:v>
      </x:c>
      <x:c r="B67" s="19" t="str">
        <x:v>Okänt sändningsutfall efter DATA</x:v>
      </x:c>
      <x:c r="C67" s="19" t="str">
        <x:v>Förbindelsen bryts efter att meddelandet kan ha accepterats av SMTP-servern.</x:v>
      </x:c>
      <x:c r="D67" s="19" t="str">
        <x:v>Återstarta arbetaren.</x:v>
      </x:c>
      <x:c r="E67" s="19" t="str">
        <x:v>Registrera submission_unknown och spåra utfallet innan ett affärsmässigt återförsök bedöms.</x:v>
      </x:c>
      <x:c r="F67" s="19" t="str">
        <x:v>Ingen blind omsändning av Z03 och inget löfte om exakt en SMTP-leverans.</x:v>
      </x:c>
      <x:c r="G67" s="19" t="str">
        <x:v>TR-10</x:v>
      </x:c>
      <x:c r="H67" s="19" t="str">
        <x:v>Integration/E2E</x:v>
      </x:c>
      <x:c r="I67" s="19" t="str">
        <x:v>Inte körd mot systemet</x:v>
      </x:c>
      <x:c r="J67" s="19" t="str"/>
    </x:row>
    <x:row r="68" ht="36.599998474121094" customHeight="1">
      <x:c r="A68" s="19" t="str">
        <x:v>SC-064</x:v>
      </x:c>
      <x:c r="B68" s="19" t="str">
        <x:v>Regel eller behörighet förändras i kön</x:v>
      </x:c>
      <x:c r="C68" s="19" t="str">
        <x:v>En avsikt byggs under version 1. Före sändning ändras en relevant policy, rutt eller rättighet.</x:v>
      </x:c>
      <x:c r="D68" s="19" t="str">
        <x:v>Kör kontrollen före sändning.</x:v>
      </x:c>
      <x:c r="E68" s="19" t="str">
        <x:v>Ompröva och lagra ett nytt spårbart beslut, eller blockera den berörda åtgärden.</x:v>
      </x:c>
      <x:c r="F68" s="19" t="str">
        <x:v>Skicka inte ett inaktuellt innehåll med ett gammalt behörighetsbeslut.</x:v>
      </x:c>
      <x:c r="G68" s="19" t="str">
        <x:v>GOV-04; OPS-01</x:v>
      </x:c>
      <x:c r="H68" s="19" t="str">
        <x:v>Integration/E2E</x:v>
      </x:c>
      <x:c r="I68" s="19" t="str">
        <x:v>Inte körd mot systemet</x:v>
      </x:c>
      <x:c r="J68" s="19" t="str"/>
    </x:row>
    <x:row r="69" ht="50.400001525878906" customHeight="1">
      <x:c r="A69" s="19" t="str">
        <x:v>SC-065</x:v>
      </x:c>
      <x:c r="B69" s="19" t="str">
        <x:v>AI-lista från leverantör</x:v>
      </x:c>
      <x:c r="C69" s="19" t="str">
        <x:v>En DDQ-tenant exporterar en månads avstämningsuppgifter.</x:v>
      </x:c>
      <x:c r="D69" s="19" t="str">
        <x:v>Bygg AI-listans CSV.</x:v>
      </x:c>
      <x:c r="E69" s="19" t="str">
        <x:v>Nätföretaget står först i huvudet. De sex leverantörstomma fälten lämnas tomma. Rätt kundidentitet, namn och avslutande semikolon används.</x:v>
      </x:c>
      <x:c r="F69" s="19" t="str">
        <x:v>Inga interna UUID som GSRN och inget generiskt energiprodukt-id som tidsserieprodukt.</x:v>
      </x:c>
      <x:c r="G69" s="19" t="str">
        <x:v>AI-01; AI-02</x:v>
      </x:c>
      <x:c r="H69" s="19" t="str">
        <x:v>Integration/E2E</x:v>
      </x:c>
      <x:c r="I69" s="19" t="str">
        <x:v>Inte körd mot systemet</x:v>
      </x:c>
      <x:c r="J69" s="19" t="str"/>
    </x:row>
    <x:row r="70" ht="50.400001525878906" customHeight="1">
      <x:c r="A70" s="19" t="str">
        <x:v>SC-066</x:v>
      </x:c>
      <x:c r="B70" s="19" t="str">
        <x:v>AI-listans historik och avvikelser</x:v>
      </x:c>
      <x:c r="C70" s="19" t="str">
        <x:v>En anläggning har ändrats under perioden och leveransen omfattar bara en del av perioden. En inkommande lista avviker från databasen.</x:v>
      </x:c>
      <x:c r="D70" s="19" t="str">
        <x:v>Exportera perioduppgifterna och läs in avstämningen.</x:v>
      </x:c>
      <x:c r="E70" s="19" t="str">
        <x:v>Rätt detaljrader och giltighetsperioder. Avvikelser leder till utredning.</x:v>
      </x:c>
      <x:c r="F70" s="19" t="str">
        <x:v>Ingen automatisk överskrivning av grunddata från AI-listan.</x:v>
      </x:c>
      <x:c r="G70" s="19" t="str">
        <x:v>AI-03; AI-04</x:v>
      </x:c>
      <x:c r="H70" s="19" t="str">
        <x:v>Integration/E2E</x:v>
      </x:c>
      <x:c r="I70" s="19" t="str">
        <x:v>Inte körd mot systemet</x:v>
      </x:c>
      <x:c r="J70" s="19" t="str"/>
    </x:row>
    <x:row r="71" ht="36.599998474121094" customHeight="1">
      <x:c r="A71" s="19" t="str">
        <x:v>SC-067</x:v>
      </x:c>
      <x:c r="B71" s="19" t="str">
        <x:v>BI-export i DDQ- eller DGI-roll</x:v>
      </x:c>
      <x:c r="C71" s="19" t="str">
        <x:v>En användare vill skapa en BI-lista men agerar inte som elnätsföretag.</x:v>
      </x:c>
      <x:c r="D71" s="19" t="str">
        <x:v>Begär export.</x:v>
      </x:c>
      <x:c r="E71" s="19" t="str">
        <x:v>Blockera rollen även om systemet kan läsa filformatet.</x:v>
      </x:c>
      <x:c r="F71" s="19" t="str">
        <x:v>Plattformen får inte uppträda som nätägare utan rätt roll och underlag.</x:v>
      </x:c>
      <x:c r="G71" s="19" t="str">
        <x:v>AI-05</x:v>
      </x:c>
      <x:c r="H71" s="19" t="str">
        <x:v>Integration/E2E</x:v>
      </x:c>
      <x:c r="I71" s="19" t="str">
        <x:v>Inte körd mot systemet</x:v>
      </x:c>
      <x:c r="J71" s="19" t="str"/>
    </x:row>
    <x:row r="72" ht="36.599998474121094" customHeight="1">
      <x:c r="A72" s="19" t="str">
        <x:v>SC-068</x:v>
      </x:c>
      <x:c r="B72" s="19" t="str">
        <x:v>Test och återspelning når inte produktion</x:v>
      </x:c>
      <x:c r="C72" s="19" t="str">
        <x:v>En referensfil använder testidentitet eller ett beslut har läget historical_replay.</x:v>
      </x:c>
      <x:c r="D72" s="19" t="str">
        <x:v>Försök skapa automatisk produktionssändning eller kundändring.</x:v>
      </x:c>
      <x:c r="E72" s="19" t="str">
        <x:v>Ingen extern produktionssändning och ingen produktionsmutation.</x:v>
      </x:c>
      <x:c r="F72" s="19" t="str">
        <x:v>catalog_evidence får inte användas som operativ sändningsauktoritet.</x:v>
      </x:c>
      <x:c r="G72" s="19" t="str">
        <x:v>ENV-05; GOV-08</x:v>
      </x:c>
      <x:c r="H72" s="19" t="str">
        <x:v>Integration/E2E</x:v>
      </x:c>
      <x:c r="I72" s="19" t="str">
        <x:v>Inte körd mot systemet</x:v>
      </x:c>
      <x:c r="J72" s="19" t="str"/>
    </x:row>
    <x:row r="73" ht="36.599998474121094" customHeight="1">
      <x:c r="A73" s="19" t="str">
        <x:v>SC-069</x:v>
      </x:c>
      <x:c r="B73" s="19" t="str">
        <x:v>Ny beredskapsverifiering för berört scope</x:v>
      </x:c>
      <x:c r="C73" s="19" t="str">
        <x:v>En DGI-regel ändras för en viss omfattning medan DDQ är opåverkad.</x:v>
      </x:c>
      <x:c r="D73" s="19" t="str">
        <x:v>Skapa releasebevis.</x:v>
      </x:c>
      <x:c r="E73" s="19" t="str">
        <x:v>Nytt bevis för berörd tenant, aktör, roll och kapabilitet. Fortsatt säker mottagning och föreskriven kvittensdrift hålls tillgänglig.</x:v>
      </x:c>
      <x:c r="F73" s="19" t="str">
        <x:v>Ett gammalt globalt is_ready får inte godkänna alla roller och profiler.</x:v>
      </x:c>
      <x:c r="G73" s="19" t="str">
        <x:v>OPS-01</x:v>
      </x:c>
      <x:c r="H73" s="19" t="str">
        <x:v>Integration/E2E</x:v>
      </x:c>
      <x:c r="I73" s="19" t="str">
        <x:v>Inte körd mot systemet</x:v>
      </x:c>
      <x:c r="J73" s="19" t="str"/>
    </x:row>
    <x:row r="74" ht="36.599998474121094" customHeight="1">
      <x:c r="A74" s="19" t="str">
        <x:v>SC-070</x:v>
      </x:c>
      <x:c r="B74" s="19" t="str">
        <x:v>Kundavslut med bevarandekrav</x:v>
      </x:c>
      <x:c r="C74" s="19" t="str">
        <x:v>En kund avslutar. Vissa journaluppgifter behöver bevaras enligt beslutad lagringsklass.</x:v>
      </x:c>
      <x:c r="D74" s="19" t="str">
        <x:v>Kör datalivscykeln.</x:v>
      </x:c>
      <x:c r="E74" s="19" t="str">
        <x:v>Operativt avslut, återkallade rättigheter och tillåten radering eller pseudonymisering genomförs med spårbar lagringsgrund.</x:v>
      </x:c>
      <x:c r="F74" s="19" t="str">
        <x:v>Ingen blind CASCADE-radering av mätdata, fakturor och kvittenshistorik.</x:v>
      </x:c>
      <x:c r="G74" s="19" t="str">
        <x:v>DB-05</x:v>
      </x:c>
      <x:c r="H74" s="19" t="str">
        <x:v>Integration/E2E</x:v>
      </x:c>
      <x:c r="I74" s="19" t="str">
        <x:v>Inte körd mot systemet</x:v>
      </x:c>
      <x:c r="J74" s="19" t="str"/>
    </x:row>
    <x:row r="75" ht="36.599998474121094" customHeight="1">
      <x:c r="A75" s="19" t="str">
        <x:v>SC-071</x:v>
      </x:c>
      <x:c r="B75" s="19" t="str">
        <x:v>Samtidig återkallelse och distribution</x:v>
      </x:c>
      <x:c r="C75" s="19" t="str">
        <x:v>Ett åtkomstgrant återkallas samtidigt som ett E66-resultat ska delas internt.</x:v>
      </x:c>
      <x:c r="D75" s="19" t="str">
        <x:v>Kör exportjobb och rättighetsändring parallellt.</x:v>
      </x:c>
      <x:c r="E75" s="19" t="str">
        <x:v>Kontroll av aktuell version och transaktionsgräns hindrar utlämning utan giltig rätt.</x:v>
      </x:c>
      <x:c r="F75" s="19" t="str">
        <x:v>Ett tidigare behörighetsbeslut får inte användas efter relevant återkallelse.</x:v>
      </x:c>
      <x:c r="G75" s="19" t="str">
        <x:v>TEN-10; TEN-12</x:v>
      </x:c>
      <x:c r="H75" s="19" t="str">
        <x:v>Integration/E2E</x:v>
      </x:c>
      <x:c r="I75" s="19" t="str">
        <x:v>Inte körd mot systemet</x:v>
      </x:c>
      <x:c r="J75" s="19" t="str"/>
    </x:row>
    <x:row r="76" ht="36.599998474121094" customHeight="1">
      <x:c r="A76" s="19" t="str">
        <x:v>SC-072</x:v>
      </x:c>
      <x:c r="B76" s="19" t="str">
        <x:v>Oberoende test avslöjar gemensamt mappningsfel</x:v>
      </x:c>
      <x:c r="C76" s="19" t="str">
        <x:v>Byggare och validator använder samma felaktiga fältmappning.</x:v>
      </x:c>
      <x:c r="D76" s="19" t="str">
        <x:v>Kör referenstest med facit från en oberoende, versionsriktig källa.</x:v>
      </x:c>
      <x:c r="E76" s="19" t="str">
        <x:v>Felet upptäcks även om egen serialisering och parsning ger en lyckad rundtur.</x:v>
      </x:c>
      <x:c r="F76" s="19" t="str">
        <x:v>Enbart rundtur med egen parser bevisar inte överensstämmelse med Ediel.</x:v>
      </x:c>
      <x:c r="G76" s="19" t="str">
        <x:v>GOV-08; OPS-03</x:v>
      </x:c>
      <x:c r="H76" s="19" t="str">
        <x:v>Integration/E2E</x:v>
      </x:c>
      <x:c r="I76" s="19" t="str">
        <x:v>Inte körd mot systemet</x:v>
      </x:c>
      <x:c r="J76" s="19" t="str"/>
    </x:row>
    <x:row r="77" ht="50.400001525878906" customHeight="1">
      <x:c r="A77" s="19" t="str">
        <x:v>AT-GOV-01</x:v>
      </x:c>
      <x:c r="B77" s="19" t="str">
        <x:v>Regelkontrakt: GOV-01</x:v>
      </x:c>
      <x:c r="C77" s="19" t="str">
        <x:v>Alla profiler</x:v>
      </x:c>
      <x:c r="D77" s="19" t="str">
        <x:v>Publicering av regelpaket – prova både uppfyllt villkor och relevant fel-/gränsfall.</x:v>
      </x:c>
      <x:c r="E77" s="19" t="str">
        <x:v>Varje normativ regel har dokumenthash, version/revision, sida/avsnitt, giltighet och exakt omfattning. → Publicera immutabel regelversion med granskningsspår.</x:v>
      </x:c>
      <x:c r="F77" s="19" t="str">
        <x:v>Ej styrkt regel ska inte generera nya externa meddelanden eller påhittade felkoder.</x:v>
      </x:c>
      <x:c r="G77" s="19" t="str">
        <x:v>GOV-01</x:v>
      </x:c>
      <x:c r="H77" s="19" t="str">
        <x:v>Planerat regelbeteendeprov</x:v>
      </x:c>
      <x:c r="I77" s="19" t="str">
        <x:v>Inte körd mot systemet</x:v>
      </x:c>
      <x:c r="J77" s="19" t="str"/>
    </x:row>
    <x:row r="78" ht="50.400001525878906" customHeight="1">
      <x:c r="A78" s="19" t="str">
        <x:v>AT-GOV-02</x:v>
      </x:c>
      <x:c r="B78" s="19" t="str">
        <x:v>Regelkontrakt: GOV-02</x:v>
      </x:c>
      <x:c r="C78" s="19" t="str">
        <x:v>PRODAT</x:v>
      </x:c>
      <x:c r="D78" s="19" t="str">
        <x:v>Komposition av fältprofil – prova både uppfyllt villkor och relevant fel-/gränsfall.</x:v>
      </x:c>
      <x:c r="E78" s="19" t="str">
        <x:v>P §2.2 har företräde framför motstridiga bilaga4-villkor; första register och register2+ har skilda regler. → Tillämpa basprofil + subtype + parent + registeroverlay.</x:v>
      </x:c>
      <x:c r="F78" s="19" t="str">
        <x:v>Ingen automatisk kopiering av gamla bilaga4-koder eller bas-R till alla register.</x:v>
      </x:c>
      <x:c r="G78" s="19" t="str">
        <x:v>GOV-02</x:v>
      </x:c>
      <x:c r="H78" s="19" t="str">
        <x:v>Planerat regelbeteendeprov</x:v>
      </x:c>
      <x:c r="I78" s="19" t="str">
        <x:v>Inte körd mot systemet</x:v>
      </x:c>
      <x:c r="J78" s="19" t="str"/>
    </x:row>
    <x:row r="79" ht="50.400001525878906" customHeight="1">
      <x:c r="A79" s="19" t="str">
        <x:v>AT-GOV-03</x:v>
      </x:c>
      <x:c r="B79" s="19" t="str">
        <x:v>Regelkontrakt: GOV-03</x:v>
      </x:c>
      <x:c r="C79" s="19" t="str">
        <x:v>PRODAT/AP/UTILTS</x:v>
      </x:c>
      <x:c r="D79" s="19" t="str">
        <x:v>Val av guide – prova både uppfyllt villkor och relevant fel-/gränsfall.</x:v>
      </x:c>
      <x:c r="E79" s="19" t="str">
        <x:v>Elprofil26.A och tillhörande APERAK skiljs från gasprofil16.B; generisk AP05.B.5 ersätter inte P-/U-specifika APERAK. → Välj APERAK enligt ursprungsfamilj och dess guide.</x:v>
      </x:c>
      <x:c r="F79" s="19" t="str">
        <x:v>Stoppa sammanblandad wireversion; ingen generell APERAK16.B-profil för EL.</x:v>
      </x:c>
      <x:c r="G79" s="19" t="str">
        <x:v>GOV-03</x:v>
      </x:c>
      <x:c r="H79" s="19" t="str">
        <x:v>Planerat regelbeteendeprov</x:v>
      </x:c>
      <x:c r="I79" s="19" t="str">
        <x:v>Inte körd mot systemet</x:v>
      </x:c>
      <x:c r="J79" s="19" t="str"/>
    </x:row>
    <x:row r="80" ht="50.400001525878906" customHeight="1">
      <x:c r="A80" s="19" t="str">
        <x:v>AT-GOV-04</x:v>
      </x:c>
      <x:c r="B80" s="19" t="str">
        <x:v>Regelkontrakt: GOV-04</x:v>
      </x:c>
      <x:c r="C80" s="19" t="str">
        <x:v>Utgående meddelande och omsändning</x:v>
      </x:c>
      <x:c r="D80" s="19" t="str">
        <x:v>Före varje extern sändning – prova både uppfyllt villkor och relevant fel-/gränsfall.</x:v>
      </x:c>
      <x:c r="E80" s="19" t="str">
        <x:v>Använd då gällande anvisning; avvikande omsändning endast där giltig bilateral överenskommelse tillåter. → Ny prövning efter versionsgräns; behåll tidigare payload och beslut som historik.</x:v>
      </x:c>
      <x:c r="F80" s="19" t="str">
        <x:v>Skicka inte gammal köpayload med ny versionsetikett.</x:v>
      </x:c>
      <x:c r="G80" s="19" t="str">
        <x:v>GOV-04</x:v>
      </x:c>
      <x:c r="H80" s="19" t="str">
        <x:v>Planerat regelbeteendeprov</x:v>
      </x:c>
      <x:c r="I80" s="19" t="str">
        <x:v>Inte körd mot systemet</x:v>
      </x:c>
      <x:c r="J80" s="19" t="str"/>
    </x:row>
    <x:row r="81" ht="50.400001525878906" customHeight="1">
      <x:c r="A81" s="19" t="str">
        <x:v>AT-GOV-05</x:v>
      </x:c>
      <x:c r="B81" s="19" t="str">
        <x:v>Regelkontrakt: GOV-05</x:v>
      </x:c>
      <x:c r="C81" s="19" t="str">
        <x:v>Mottagning</x:v>
      </x:c>
      <x:c r="D81" s="19" t="str">
        <x:v>Ny anvisning börjar gälla – prova både uppfyllt villkor och relevant fel-/gränsfall.</x:v>
      </x:c>
      <x:c r="E81" s="19" t="str">
        <x:v>Hantera närmast föregående giltiga anvisning under tvåveckorsövergång, med hänsyn till överordnade regler. → Använd ett komplett kompatibelt regelpaket per prövning, logga vald tolkning.</x:v>
      </x:c>
      <x:c r="F81" s="19" t="str">
        <x:v>Plocka inte gynnsamma enstaka kontroller från olika versioner; samma UNH-kod är inte revisionsbevis.</x:v>
      </x:c>
      <x:c r="G81" s="19" t="str">
        <x:v>GOV-05</x:v>
      </x:c>
      <x:c r="H81" s="19" t="str">
        <x:v>Planerat regelbeteendeprov</x:v>
      </x:c>
      <x:c r="I81" s="19" t="str">
        <x:v>Inte körd mot systemet</x:v>
      </x:c>
      <x:c r="J81" s="19" t="str"/>
    </x:row>
    <x:row r="82" ht="50.400001525878906" customHeight="1">
      <x:c r="A82" s="19" t="str">
        <x:v>AT-GOV-06</x:v>
      </x:c>
      <x:c r="B82" s="19" t="str">
        <x:v>Regelkontrakt: GOV-06</x:v>
      </x:c>
      <x:c r="C82" s="19" t="str">
        <x:v>UTILTS</x:v>
      </x:c>
      <x:c r="D82" s="19" t="str">
        <x:v>Gemensam runtimevalidering – prova både uppfyllt villkor och relevant fel-/gränsfall.</x:v>
      </x:c>
      <x:c r="E82" s="19" t="str">
        <x:v>Format-/övergångstid, dokumentdatum, leveransperiod och replaytid är separata tidsbegrepp som beslutet bär. → För explicit versionsbeslut till utiltsEngine; inget nytt implicit now().</x:v>
      </x:c>
      <x:c r="F82" s="19" t="str">
        <x:v>Avvisa lokalt osammanhängande beslut före mutation; inte externt fältfel om orsaken är egen kod.</x:v>
      </x:c>
      <x:c r="G82" s="19" t="str">
        <x:v>GOV-06</x:v>
      </x:c>
      <x:c r="H82" s="19" t="str">
        <x:v>Planerat regelbeteendeprov</x:v>
      </x:c>
      <x:c r="I82" s="19" t="str">
        <x:v>Inte körd mot systemet</x:v>
      </x:c>
      <x:c r="J82" s="19" t="str"/>
    </x:row>
    <x:row r="83" ht="64.19999694824219" customHeight="1">
      <x:c r="A83" s="19" t="str">
        <x:v>AT-GOV-07</x:v>
      </x:c>
      <x:c r="B83" s="19" t="str">
        <x:v>Regelkontrakt: GOV-07</x:v>
      </x:c>
      <x:c r="C83" s="19" t="str">
        <x:v>Energidelning/2027-förslag</x:v>
      </x:c>
      <x:c r="D83" s="19" t="str">
        <x:v>Kapabilitet aktiveras – prova både uppfyllt villkor och relevant fel-/gränsfall.</x:v>
      </x:c>
      <x:c r="E83" s="19" t="str">
        <x:v>P §2.3 anger användning från 2027-01-01; S18 ej, endast15min och produktion; framtida nya koder är inte antagna. → Håll egen framtida profil avstängd före datum och före separata legala/processuella verifieringar.</x:v>
      </x:c>
      <x:c r="F83" s="19" t="str">
        <x:v>Ingen aktivering bara för att PDF är publicerad.</x:v>
      </x:c>
      <x:c r="G83" s="19" t="str">
        <x:v>GOV-07</x:v>
      </x:c>
      <x:c r="H83" s="19" t="str">
        <x:v>Planerat regelbeteendeprov</x:v>
      </x:c>
      <x:c r="I83" s="19" t="str">
        <x:v>Inte körd mot systemet</x:v>
      </x:c>
      <x:c r="J83" s="19" t="str"/>
    </x:row>
    <x:row r="84" ht="50.400001525878906" customHeight="1">
      <x:c r="A84" s="19" t="str">
        <x:v>AT-GOV-08</x:v>
      </x:c>
      <x:c r="B84" s="19" t="str">
        <x:v>Regelkontrakt: GOV-08</x:v>
      </x:c>
      <x:c r="C84" s="19" t="str">
        <x:v>Referenser och TGT</x:v>
      </x:c>
      <x:c r="D84" s="19" t="str">
        <x:v>Inför acceptanstest – prova både uppfyllt villkor och relevant fel-/gränsfall.</x:v>
      </x:c>
      <x:c r="E84" s="19" t="str">
        <x:v>Knyt originalfilhash till källa, testfall, revision, roll och förväntat positivt/negativt resultat. → Bevara negativa referenser som negativa; dokumentera konflikt.</x:v>
      </x:c>
      <x:c r="F84" s="19" t="str">
        <x:v>Ändra inte referensen för att passa egen renderer.</x:v>
      </x:c>
      <x:c r="G84" s="19" t="str">
        <x:v>GOV-08</x:v>
      </x:c>
      <x:c r="H84" s="19" t="str">
        <x:v>Planerat regelbeteendeprov</x:v>
      </x:c>
      <x:c r="I84" s="19" t="str">
        <x:v>Inte körd mot systemet</x:v>
      </x:c>
      <x:c r="J84" s="19" t="str"/>
    </x:row>
    <x:row r="85" ht="50.400001525878906" customHeight="1">
      <x:c r="A85" s="19" t="str">
        <x:v>AT-TEN-01</x:v>
      </x:c>
      <x:c r="B85" s="19" t="str">
        <x:v>Regelkontrakt: TEN-01</x:v>
      </x:c>
      <x:c r="C85" s="19" t="str">
        <x:v>Alla affärsoperationer</x:v>
      </x:c>
      <x:c r="D85" s="19" t="str">
        <x:v>Command skapas eller meddelande attribueras – prova både uppfyllt villkor och relevant fel-/gränsfall.</x:v>
      </x:c>
      <x:c r="E85" s="19" t="str">
        <x:v>Tenant, juridisk aktör, operativ roll och teknisk identitet är olika typer. → Skapa verifierat execution context före kundmutation.</x:v>
      </x:c>
      <x:c r="F85" s="19" t="str">
        <x:v>Tenantens namn/domän/mejl får inte ersätta marknadsidentitet.</x:v>
      </x:c>
      <x:c r="G85" s="19" t="str">
        <x:v>TEN-01</x:v>
      </x:c>
      <x:c r="H85" s="19" t="str">
        <x:v>Planerat regelbeteendeprov</x:v>
      </x:c>
      <x:c r="I85" s="19" t="str">
        <x:v>Inte körd mot systemet</x:v>
      </x:c>
      <x:c r="J85" s="19" t="str"/>
    </x:row>
    <x:row r="86" ht="50.400001525878906" customHeight="1">
      <x:c r="A86" s="19" t="str">
        <x:v>AT-TEN-02</x:v>
      </x:c>
      <x:c r="B86" s="19" t="str">
        <x:v>Regelkontrakt: TEN-02</x:v>
      </x:c>
      <x:c r="C86" s="19" t="str">
        <x:v>Tenant med egen leverantör/ESCO</x:v>
      </x:c>
      <x:c r="D86" s="19" t="str">
        <x:v>Utgående/inkommande trafik – prova både uppfyllt villkor och relevant fel-/gränsfall.</x:v>
      </x:c>
      <x:c r="E86" s="19" t="str">
        <x:v>Tenantens verifierade juridiska Ediel-id används; gemensam brevlåda är en transportegenskap. → Bevara befintligt beslut om egna Ediel-id; separata aktörsprofiler för DDQ/DGI.</x:v>
      </x:c>
      <x:c r="F86" s="19" t="str">
        <x:v>Byt inte alla till Gridex-id eller registrera tekniskt ombud automatiskt.</x:v>
      </x:c>
      <x:c r="G86" s="19" t="str">
        <x:v>TEN-02</x:v>
      </x:c>
      <x:c r="H86" s="19" t="str">
        <x:v>Planerat regelbeteendeprov</x:v>
      </x:c>
      <x:c r="I86" s="19" t="str">
        <x:v>Inte körd mot systemet</x:v>
      </x:c>
      <x:c r="J86" s="19" t="str"/>
    </x:row>
    <x:row r="87" ht="50.400001525878906" customHeight="1">
      <x:c r="A87" s="19" t="str">
        <x:v>AT-TEN-03</x:v>
      </x:c>
      <x:c r="B87" s="19" t="str">
        <x:v>Regelkontrakt: TEN-03</x:v>
      </x:c>
      <x:c r="C87" s="19" t="str">
        <x:v>Gridex är legal ESCO åt beneficiary tenant</x:v>
      </x:c>
      <x:c r="D87" s="19" t="str">
        <x:v>Z13 beställs av annan tenant – prova både uppfyllt villkor och relevant fel-/gränsfall.</x:v>
      </x:c>
      <x:c r="E87" s="19" t="str">
        <x:v>Operating tenant/actor=ESCO-leverantören; beneficiary tenant uttrycklig; kund- och DSO-avtal ger marknadsgrund. → Z13 sänds i den verkliga ESCO-aktörens DGI-roll, utan interna tenant-id i EDIFACT.</x:v>
      </x:c>
      <x:c r="F87" s="19" t="str">
        <x:v>SaaS-avtal/ägande av plattformen ger inte mätvärdestillstånd.</x:v>
      </x:c>
      <x:c r="G87" s="19" t="str">
        <x:v>TEN-03</x:v>
      </x:c>
      <x:c r="H87" s="19" t="str">
        <x:v>Planerat regelbeteendeprov</x:v>
      </x:c>
      <x:c r="I87" s="19" t="str">
        <x:v>Inte körd mot systemet</x:v>
      </x:c>
      <x:c r="J87" s="19" t="str"/>
    </x:row>
    <x:row r="88" ht="50.400001525878906" customHeight="1">
      <x:c r="A88" s="19" t="str">
        <x:v>AT-TEN-04</x:v>
      </x:c>
      <x:c r="B88" s="19" t="str">
        <x:v>Regelkontrakt: TEN-04</x:v>
      </x:c>
      <x:c r="C88" s="19" t="str">
        <x:v>Verkligt registrerat ombudsförhållande</x:v>
      </x:c>
      <x:c r="D88" s="19" t="str">
        <x:v>Adressmatchning – prova både uppfyllt villkor och relevant fel-/gränsfall.</x:v>
      </x:c>
      <x:c r="E88" s="19" t="str">
        <x:v>InterchangePartyId och juridisk PartyId bevaras var för sig; stöd endast uttryckligen dokumenterad relation. → Routa tekniskt via ombud utan att byta juridisk aktör.</x:v>
      </x:c>
      <x:c r="F88" s="19" t="str">
        <x:v>Tvinga inte teknisk==juridisk; anta inte att delad SMTP betyder ombudsmandat.</x:v>
      </x:c>
      <x:c r="G88" s="19" t="str">
        <x:v>TEN-04</x:v>
      </x:c>
      <x:c r="H88" s="19" t="str">
        <x:v>Planerat regelbeteendeprov</x:v>
      </x:c>
      <x:c r="I88" s="19" t="str">
        <x:v>Inte körd mot systemet</x:v>
      </x:c>
      <x:c r="J88" s="19" t="str"/>
    </x:row>
    <x:row r="89" ht="36.599998474121094" customHeight="1">
      <x:c r="A89" s="19" t="str">
        <x:v>AT-TEN-05</x:v>
      </x:c>
      <x:c r="B89" s="19" t="str">
        <x:v>Regelkontrakt: TEN-05</x:v>
      </x:c>
      <x:c r="C89" s="19" t="str">
        <x:v>Aktör både DDQ och DGI</x:v>
      </x:c>
      <x:c r="D89" s="19" t="str">
        <x:v>Varje affärshändelse – prova både uppfyllt villkor och relevant fel-/gränsfall.</x:v>
      </x:c>
      <x:c r="E89" s="19" t="str">
        <x:v>Roll bestäms av affärsprocess, inte globalt standardfält. → 23-DDQ-PRODAT för leverantörsprocess;23-DGI-PRODAT för tillståndsprocess.</x:v>
      </x:c>
      <x:c r="F89" s="19" t="str">
        <x:v>Z14 får inte aktivera leverans; Z04 ger inte generellt ESCO-tillstånd.</x:v>
      </x:c>
      <x:c r="G89" s="19" t="str">
        <x:v>TEN-05</x:v>
      </x:c>
      <x:c r="H89" s="19" t="str">
        <x:v>Planerat regelbeteendeprov</x:v>
      </x:c>
      <x:c r="I89" s="19" t="str">
        <x:v>Inte körd mot systemet</x:v>
      </x:c>
      <x:c r="J89" s="19" t="str"/>
    </x:row>
    <x:row r="90" ht="50.400001525878906" customHeight="1">
      <x:c r="A90" s="19" t="str">
        <x:v>AT-TEN-06</x:v>
      </x:c>
      <x:c r="B90" s="19" t="str">
        <x:v>Regelkontrakt: TEN-06</x:v>
      </x:c>
      <x:c r="C90" s="19" t="str">
        <x:v>Inkommande EDIFACT</x:v>
      </x:c>
      <x:c r="D90" s="19" t="str">
        <x:v>Efter säker MIME-/syntaxklassificering – prova både uppfyllt villkor och relevant fel-/gränsfall.</x:v>
      </x:c>
      <x:c r="E90" s="19" t="str">
        <x:v>Attribuera teknisk mottagare, juridisk mottagare, roll/marknad och ursprungssammanhang där sådant finns. → Identifiera en juridiskt ansvarig aktör; därifrån korrekt tenant-/servicekontext.</x:v>
      </x:c>
      <x:c r="F90" s="19" t="str">
        <x:v>Oklar attribution hålls i skyddad karantän; ingen gissad tenant från kund-id.</x:v>
      </x:c>
      <x:c r="G90" s="19" t="str">
        <x:v>TEN-06</x:v>
      </x:c>
      <x:c r="H90" s="19" t="str">
        <x:v>Planerat regelbeteendeprov</x:v>
      </x:c>
      <x:c r="I90" s="19" t="str">
        <x:v>Inte körd mot systemet</x:v>
      </x:c>
      <x:c r="J90" s="19" t="str"/>
    </x:row>
    <x:row r="91" ht="64.19999694824219" customHeight="1">
      <x:c r="A91" s="19" t="str">
        <x:v>AT-TEN-07</x:v>
      </x:c>
      <x:c r="B91" s="19" t="str">
        <x:v>Regelkontrakt: TEN-07</x:v>
      </x:c>
      <x:c r="C91" s="19" t="str">
        <x:v>Flera objekt/meddelanden i fil</x:v>
      </x:c>
      <x:c r="D91" s="19" t="str">
        <x:v>Efter juridisk mottagarattribution – prova både uppfyllt villkor och relevant fel-/gränsfall.</x:v>
      </x:c>
      <x:c r="E91" s="19" t="str">
        <x:v>Varje nyttig datadel matchas mot tillstånd och serviceuppdrag; transportkuvert och affärsgrants är inte samma omfattning. → Ägaraktören behåller råfil; beneficiaries ser bara tillåtna objekt/perioder/fält.</x:v>
      </x:c>
      <x:c r="F91" s="19" t="str">
        <x:v>Ge inte hela EML/filen till en tenant som bara har rätt till en transaktion.</x:v>
      </x:c>
      <x:c r="G91" s="19" t="str">
        <x:v>TEN-07</x:v>
      </x:c>
      <x:c r="H91" s="19" t="str">
        <x:v>Planerat regelbeteendeprov</x:v>
      </x:c>
      <x:c r="I91" s="19" t="str">
        <x:v>Inte körd mot systemet</x:v>
      </x:c>
      <x:c r="J91" s="19" t="str"/>
    </x:row>
    <x:row r="92" ht="50.400001525878906" customHeight="1">
      <x:c r="A92" s="19" t="str">
        <x:v>AT-TEN-08</x:v>
      </x:c>
      <x:c r="B92" s="19" t="str">
        <x:v>Regelkontrakt: TEN-08</x:v>
      </x:c>
      <x:c r="C92" s="19" t="str">
        <x:v>En ESCO-mätserie har flera giltiga mottagartenants</x:v>
      </x:c>
      <x:c r="D92" s="19" t="str">
        <x:v>Efter accepterad lagring – prova både uppfyllt villkor och relevant fel-/gränsfall.</x:v>
      </x:c>
      <x:c r="E92" s="19" t="str">
        <x:v>Separata data_access_grants för varje beneficiary, ändamål, objekt, produkt och tidsintervall. → En marknadsmottagning och kvittens; därefter separat intern distribution per giltigt grant.</x:v>
      </x:c>
      <x:c r="F92" s="19" t="str">
        <x:v>Ingen automatisk kopiering till alla tenants med samma GSRN.</x:v>
      </x:c>
      <x:c r="G92" s="19" t="str">
        <x:v>TEN-08</x:v>
      </x:c>
      <x:c r="H92" s="19" t="str">
        <x:v>Planerat regelbeteendeprov</x:v>
      </x:c>
      <x:c r="I92" s="19" t="str">
        <x:v>Inte körd mot systemet</x:v>
      </x:c>
      <x:c r="J92" s="19" t="str"/>
    </x:row>
    <x:row r="93" ht="50.400001525878906" customHeight="1">
      <x:c r="A93" s="19" t="str">
        <x:v>AT-TEN-09</x:v>
      </x:c>
      <x:c r="B93" s="19" t="str">
        <x:v>Regelkontrakt: TEN-09</x:v>
      </x:c>
      <x:c r="C93" s="19" t="str">
        <x:v>Samma legal ESCO/kund/DSO</x:v>
      </x:c>
      <x:c r="D93" s="19" t="str">
        <x:v>Ny begäran eller uppsägning – prova både uppfyllt villkor och relevant fel-/gränsfall.</x:v>
      </x:c>
      <x:c r="E93" s="19" t="str">
        <x:v>Koordinera market_permission över serviceuppdrag; beneficiary-id är inte en ny marknadsaktör. → Återanvänd enbart rättsligt och semantiskt kompatibelt tillstånd; håll uppdragsgrants separata.</x:v>
      </x:c>
      <x:c r="F93" s="19" t="str">
        <x:v>En tenant får inte starta dubblett-Z13 eller avsluta delat tillstånd för andra.</x:v>
      </x:c>
      <x:c r="G93" s="19" t="str">
        <x:v>TEN-09</x:v>
      </x:c>
      <x:c r="H93" s="19" t="str">
        <x:v>Planerat regelbeteendeprov</x:v>
      </x:c>
      <x:c r="I93" s="19" t="str">
        <x:v>Inte körd mot systemet</x:v>
      </x:c>
      <x:c r="J93" s="19" t="str"/>
    </x:row>
    <x:row r="94" ht="50.400001525878906" customHeight="1">
      <x:c r="A94" s="19" t="str">
        <x:v>AT-TEN-10</x:v>
      </x:c>
      <x:c r="B94" s="19" t="str">
        <x:v>Regelkontrakt: TEN-10</x:v>
      </x:c>
      <x:c r="C94" s="19" t="str">
        <x:v>Market permission eller internt grant ändras</x:v>
      </x:c>
      <x:c r="D94" s="19" t="str">
        <x:v>API-läsning, export och jobbverkställighet – prova både uppfyllt villkor och relevant fel-/gränsfall.</x:v>
      </x:c>
      <x:c r="E94" s="19" t="str">
        <x:v>Åtkomst prövas mot aktuella grantversioner; marknadsslut och intern tenantåterkallelse olika händelser. → Stoppa framtida otillåten användning; bevara tillåten historik/audit enligt lagringspolicy.</x:v>
      </x:c>
      <x:c r="F94" s="19" t="str">
        <x:v>Ingen återaktivering av återkallat beneficiary-grant bara för att Z15C återställer marknadstillstånd.</x:v>
      </x:c>
      <x:c r="G94" s="19" t="str">
        <x:v>TEN-10</x:v>
      </x:c>
      <x:c r="H94" s="19" t="str">
        <x:v>Planerat regelbeteendeprov</x:v>
      </x:c>
      <x:c r="I94" s="19" t="str">
        <x:v>Inte körd mot systemet</x:v>
      </x:c>
      <x:c r="J94" s="19" t="str"/>
    </x:row>
    <x:row r="95" ht="50.400001525878906" customHeight="1">
      <x:c r="A95" s="19" t="str">
        <x:v>AT-TEN-11</x:v>
      </x:c>
      <x:c r="B95" s="19" t="str">
        <x:v>Regelkontrakt: TEN-11</x:v>
      </x:c>
      <x:c r="C95" s="19" t="str">
        <x:v>Okänd lokal entitlement</x:v>
      </x:c>
      <x:c r="D95" s="19" t="str">
        <x:v>Inkommande giltig marknadstrafik – prova både uppfyllt villkor och relevant fel-/gränsfall.</x:v>
      </x:c>
      <x:c r="E95" s="19" t="str">
        <x:v>Skilj eget konfigurationsfel från avsändarens anvisnings-/funktionsfel. → Behåll föreskriven teknisk kvittens där säkert möjlig; utred egen behörighetskonfiguration utan dataexponering.</x:v>
      </x:c>
      <x:c r="F95" s="19" t="str">
        <x:v>Skicka inte E10 eller42/209 enbart för att fel tenant valts lokalt.</x:v>
      </x:c>
      <x:c r="G95" s="19" t="str">
        <x:v>TEN-11</x:v>
      </x:c>
      <x:c r="H95" s="19" t="str">
        <x:v>Planerat regelbeteendeprov</x:v>
      </x:c>
      <x:c r="I95" s="19" t="str">
        <x:v>Inte körd mot systemet</x:v>
      </x:c>
      <x:c r="J95" s="19" t="str"/>
    </x:row>
    <x:row r="96" ht="64.19999694824219" customHeight="1">
      <x:c r="A96" s="19" t="str">
        <x:v>AT-TEN-12</x:v>
      </x:c>
      <x:c r="B96" s="19" t="str">
        <x:v>Regelkontrakt: TEN-12</x:v>
      </x:c>
      <x:c r="C96" s="19" t="str">
        <x:v>DB/API/job/cache</x:v>
      </x:c>
      <x:c r="D96" s="19" t="str">
        <x:v>Varje åtkomst – prova både uppfyllt villkor och relevant fel-/gränsfall.</x:v>
      </x:c>
      <x:c r="E96" s="19" t="str">
        <x:v>Sammansatta tenant-referenser, explicit delegation och grantfilter; service credentials inte synonymt med global behörighet. → RLS/RPC verifierar actor/role/tenant även i bakgrundsjobb; isolera cache/sök/export.</x:v>
      </x:c>
      <x:c r="F96" s="19" t="str">
        <x:v>Ingen OR-villkorsbaserad superadminläcka till beneficiaries.</x:v>
      </x:c>
      <x:c r="G96" s="19" t="str">
        <x:v>TEN-12</x:v>
      </x:c>
      <x:c r="H96" s="19" t="str">
        <x:v>Planerat regelbeteendeprov</x:v>
      </x:c>
      <x:c r="I96" s="19" t="str">
        <x:v>Inte körd mot systemet</x:v>
      </x:c>
      <x:c r="J96" s="19" t="str"/>
    </x:row>
    <x:row r="97" ht="50.400001525878906" customHeight="1">
      <x:c r="A97" s="19" t="str">
        <x:v>AT-TEN-13</x:v>
      </x:c>
      <x:c r="B97" s="19" t="str">
        <x:v>Regelkontrakt: TEN-13</x:v>
      </x:c>
      <x:c r="C97" s="19" t="str">
        <x:v>BGM/UNB/IDE/tillstånd</x:v>
      </x:c>
      <x:c r="D97" s="19" t="str">
        <x:v>Allokering och korrelation – prova både uppfyllt villkor och relevant fel-/gränsfall.</x:v>
      </x:c>
      <x:c r="E97" s="19" t="str">
        <x:v>Unikhet i protokollets avsändar-/applikationsutrymme även när flera tenants nyttjar samma juridiska ESCO. → Lagra interna UUID och wire-id separat; entydigt ursprung för kvittenser.</x:v>
      </x:c>
      <x:c r="F97" s="19" t="str">
        <x:v>Tenantlokala räknare får inte krocka externt; LI ensam är inte tenantnyckel.</x:v>
      </x:c>
      <x:c r="G97" s="19" t="str">
        <x:v>TEN-13</x:v>
      </x:c>
      <x:c r="H97" s="19" t="str">
        <x:v>Planerat regelbeteendeprov</x:v>
      </x:c>
      <x:c r="I97" s="19" t="str">
        <x:v>Inte körd mot systemet</x:v>
      </x:c>
      <x:c r="J97" s="19" t="str"/>
    </x:row>
    <x:row r="98" ht="50.400001525878906" customHeight="1">
      <x:c r="A98" s="19" t="str">
        <x:v>AT-TEN-14</x:v>
      </x:c>
      <x:c r="B98" s="19" t="str">
        <x:v>Regelkontrakt: TEN-14</x:v>
      </x:c>
      <x:c r="C98" s="19" t="str">
        <x:v>Cross-tenant ESCO</x:v>
      </x:c>
      <x:c r="D98" s="19" t="str">
        <x:v>Uppdrag aktiveras – prova både uppfyllt villkor och relevant fel-/gränsfall.</x:v>
      </x:c>
      <x:c r="E98" s="19" t="str">
        <x:v>Fastställ vem som är ESCO, berättigad mottagare, avtalspart och tillåten intern mottagare; dokumentera dataskyddsroller. → Tillåt avgränsad aktivering efter evidens.</x:v>
      </x:c>
      <x:c r="F98" s="19" t="str">
        <x:v>Lämna uppdrag spärrat tills konkreta rättigheter finns; rollnamn är inte juridiskt bevis.</x:v>
      </x:c>
      <x:c r="G98" s="19" t="str">
        <x:v>TEN-14</x:v>
      </x:c>
      <x:c r="H98" s="19" t="str">
        <x:v>Planerat regelbeteendeprov</x:v>
      </x:c>
      <x:c r="I98" s="19" t="str">
        <x:v>Inte körd mot systemet</x:v>
      </x:c>
      <x:c r="J98" s="19" t="str"/>
    </x:row>
    <x:row r="99" ht="64.19999694824219" customHeight="1">
      <x:c r="A99" s="19" t="str">
        <x:v>AT-IMP-01</x:v>
      </x:c>
      <x:c r="B99" s="19" t="str">
        <x:v>Regelkontrakt: IMP-01</x:v>
      </x:c>
      <x:c r="C99" s="19" t="str">
        <x:v>XML/TXT</x:v>
      </x:c>
      <x:c r="D99" s="19" t="str">
        <x:v>Fil läses – prova både uppfyllt villkor och relevant fel-/gränsfall.</x:v>
      </x:c>
      <x:c r="E99" s="19" t="str">
        <x:v>Officiell struktur: Market/Company/Identifiers/Key Type/EDIFACTDetails; TXT har egna familjeblock och kan innehålla radbrytningar. → En importerande kärna med separata formatadaptrar och gemensam typad utdata.</x:v>
      </x:c>
      <x:c r="F99" s="19" t="str">
        <x:v>Avvisa oläsbar post med diagnos; acceptera inte0routes som framgång.</x:v>
      </x:c>
      <x:c r="G99" s="19" t="str">
        <x:v>IMP-01</x:v>
      </x:c>
      <x:c r="H99" s="19" t="str">
        <x:v>Planerat regelbeteendeprov</x:v>
      </x:c>
      <x:c r="I99" s="19" t="str">
        <x:v>Inte körd mot systemet</x:v>
      </x:c>
      <x:c r="J99" s="19" t="str"/>
    </x:row>
    <x:row r="100" ht="50.400001525878906" customHeight="1">
      <x:c r="A100" s="19" t="str">
        <x:v>AT-IMP-02</x:v>
      </x:c>
      <x:c r="B100" s="19" t="str">
        <x:v>Regelkontrakt: IMP-02</x:v>
      </x:c>
      <x:c r="C100" s="19" t="str">
        <x:v>EL/GAS och roller</x:v>
      </x:c>
      <x:c r="D100" s="19" t="str">
        <x:v>Normalisering – prova både uppfyllt villkor och relevant fel-/gränsfall.</x:v>
      </x:c>
      <x:c r="E100" s="19" t="str">
        <x:v>Bevara marknad, originalkod, land, roller, teknik/juridik, familj, subadress och transporttyp. → Matcha rätt rutt inom rätt marknad; GAS kan lagras som referens men inte köras i EL-profil.</x:v>
      </x:c>
      <x:c r="F100" s="19" t="str">
        <x:v>Slå inte ihop aktörer endast på namn/orgnr eller tappa familjekvalificerare.</x:v>
      </x:c>
      <x:c r="G100" s="19" t="str">
        <x:v>IMP-02</x:v>
      </x:c>
      <x:c r="H100" s="19" t="str">
        <x:v>Planerat regelbeteendeprov</x:v>
      </x:c>
      <x:c r="I100" s="19" t="str">
        <x:v>Inte körd mot systemet</x:v>
      </x:c>
      <x:c r="J100" s="19" t="str"/>
    </x:row>
    <x:row r="101" ht="50.400001525878906" customHeight="1">
      <x:c r="A101" s="19" t="str">
        <x:v>AT-IMP-03</x:v>
      </x:c>
      <x:c r="B101" s="19" t="str">
        <x:v>Regelkontrakt: IMP-03</x:v>
      </x:c>
      <x:c r="C101" s="19" t="str">
        <x:v>Ruttändring</x:v>
      </x:c>
      <x:c r="D101" s="19" t="str">
        <x:v>Preview/apply – prova både uppfyllt villkor och relevant fel-/gränsfall.</x:v>
      </x:c>
      <x:c r="E101" s="19" t="str">
        <x:v>Diff mot giltig snapshot; separation av registeruppgift, granskning och autosändningsberedskap. → Atomär/idempotent import med kvarstående konflikter och ny ruttversion.</x:v>
      </x:c>
      <x:c r="F101" s="19" t="str">
        <x:v>Importerad adress betyder inte giltigt certifikat eller klar produktion.</x:v>
      </x:c>
      <x:c r="G101" s="19" t="str">
        <x:v>IMP-03</x:v>
      </x:c>
      <x:c r="H101" s="19" t="str">
        <x:v>Planerat regelbeteendeprov</x:v>
      </x:c>
      <x:c r="I101" s="19" t="str">
        <x:v>Inte körd mot systemet</x:v>
      </x:c>
      <x:c r="J101" s="19" t="str"/>
    </x:row>
    <x:row r="102" ht="50.400001525878906" customHeight="1">
      <x:c r="A102" s="19" t="str">
        <x:v>AT-IMP-04</x:v>
      </x:c>
      <x:c r="B102" s="19" t="str">
        <x:v>Regelkontrakt: IMP-04</x:v>
      </x:c>
      <x:c r="C102" s="19" t="str">
        <x:v>Subadresser</x:v>
      </x:c>
      <x:c r="D102" s="19" t="str">
        <x:v>Ruttbeslut – prova både uppfyllt villkor och relevant fel-/gränsfall.</x:v>
      </x:c>
      <x:c r="E102" s="19" t="str">
        <x:v>Tom registrerad subadress är ett giltigt värde; UTILTS använder inte subadress. → Bevara exakt registrerat värde; återverifiera Gridex GRIDEX-avvikelsen.</x:v>
      </x:c>
      <x:c r="F102" s="19" t="str">
        <x:v>Hitta inte på PRODAT/SCH/GRIDEX för alla.</x:v>
      </x:c>
      <x:c r="G102" s="19" t="str">
        <x:v>IMP-04</x:v>
      </x:c>
      <x:c r="H102" s="19" t="str">
        <x:v>Planerat regelbeteendeprov</x:v>
      </x:c>
      <x:c r="I102" s="19" t="str">
        <x:v>Inte körd mot systemet</x:v>
      </x:c>
      <x:c r="J102" s="19" t="str"/>
    </x:row>
    <x:row r="103" ht="50.400001525878906" customHeight="1">
      <x:c r="A103" s="19" t="str">
        <x:v>AT-IMP-05</x:v>
      </x:c>
      <x:c r="B103" s="19" t="str">
        <x:v>Regelkontrakt: IMP-05</x:v>
      </x:c>
      <x:c r="C103" s="19" t="str">
        <x:v>Certifikat-/SMTP-byte</x:v>
      </x:c>
      <x:c r="D103" s="19" t="str">
        <x:v>Ny ruttversion – prova både uppfyllt villkor och relevant fel-/gränsfall.</x:v>
      </x:c>
      <x:c r="E103" s="19" t="str">
        <x:v>Säkerhetsidentitet och registrerad adress verifieras tillsammans; bevara gammal version för historik. → Invalidate berörda aktörers/tenants readiness och verifiera returväg.</x:v>
      </x:c>
      <x:c r="F103" s="19" t="str">
        <x:v>Skicka inte med nytt mejlmål och gammalt obestämt certifikatscope.</x:v>
      </x:c>
      <x:c r="G103" s="19" t="str">
        <x:v>IMP-05</x:v>
      </x:c>
      <x:c r="H103" s="19" t="str">
        <x:v>Planerat regelbeteendeprov</x:v>
      </x:c>
      <x:c r="I103" s="19" t="str">
        <x:v>Inte körd mot systemet</x:v>
      </x:c>
      <x:c r="J103" s="19" t="str"/>
    </x:row>
    <x:row r="104" ht="50.400001525878906" customHeight="1">
      <x:c r="A104" s="19" t="str">
        <x:v>AT-ENV-01</x:v>
      </x:c>
      <x:c r="B104" s="19" t="str">
        <x:v>Regelkontrakt: ENV-01</x:v>
      </x:c>
      <x:c r="C104" s="19" t="str">
        <x:v>PRODAT/UTILTS/AP för dessa</x:v>
      </x:c>
      <x:c r="D104" s="19" t="str">
        <x:v>Serialisering – prova både uppfyllt villkor och relevant fel-/gränsfall.</x:v>
      </x:c>
      <x:c r="E104" s="19" t="str">
        <x:v>UNOC:3 och faktiska ISO8859-1-byte; escaping enligt UNA före sammanfogning. → Detektera tecken som inte kan representeras; bevara original och dokumenterad tillåten konvertering.</x:v>
      </x:c>
      <x:c r="F104" s="19" t="str">
        <x:v>Maskera inte UTF8-byte som UNOC; trunkera inte kund-id.</x:v>
      </x:c>
      <x:c r="G104" s="19" t="str">
        <x:v>ENV-01</x:v>
      </x:c>
      <x:c r="H104" s="19" t="str">
        <x:v>Planerat regelbeteendeprov</x:v>
      </x:c>
      <x:c r="I104" s="19" t="str">
        <x:v>Inte körd mot systemet</x:v>
      </x:c>
      <x:c r="J104" s="19" t="str"/>
    </x:row>
    <x:row r="105" ht="50.400001525878906" customHeight="1">
      <x:c r="A105" s="19" t="str">
        <x:v>AT-ENV-02</x:v>
      </x:c>
      <x:c r="B105" s="19" t="str">
        <x:v>Regelkontrakt: ENV-02</x:v>
      </x:c>
      <x:c r="C105" s="19" t="str">
        <x:v>Alla EDIFACT</x:v>
      </x:c>
      <x:c r="D105" s="19" t="str">
        <x:v>Parse/render – prova både uppfyllt villkor och relevant fel-/gränsfall.</x:v>
      </x:c>
      <x:c r="E105" s="19" t="str">
        <x:v>Alternativa UNA-separatorer, releasechar och tomma komponentpositioner bevaras; releasechar räknas inte i fältlängd. → Positionsstabilt AST med span/segmentgrupp/objekt/register.</x:v>
      </x:c>
      <x:c r="F105" s="19" t="str">
        <x:v>Ingen split/filter(Boolean) som flyttar CAV-komponenter.</x:v>
      </x:c>
      <x:c r="G105" s="19" t="str">
        <x:v>ENV-02</x:v>
      </x:c>
      <x:c r="H105" s="19" t="str">
        <x:v>Planerat regelbeteendeprov</x:v>
      </x:c>
      <x:c r="I105" s="19" t="str">
        <x:v>Inte körd mot systemet</x:v>
      </x:c>
      <x:c r="J105" s="19" t="str"/>
    </x:row>
    <x:row r="106" ht="50.400001525878906" customHeight="1">
      <x:c r="A106" s="19" t="str">
        <x:v>AT-ENV-03</x:v>
      </x:c>
      <x:c r="B106" s="19" t="str">
        <x:v>Regelkontrakt: ENV-03</x:v>
      </x:c>
      <x:c r="C106" s="19" t="str">
        <x:v>UNB/UNH/UNT/UNZ</x:v>
      </x:c>
      <x:c r="D106" s="19" t="str">
        <x:v>Färdig payload – prova både uppfyllt villkor och relevant fel-/gränsfall.</x:v>
      </x:c>
      <x:c r="E106" s="19" t="str">
        <x:v>Unika tekniska referenser; UNT inkluderar UNH/UNT; UNZ count och ref stämmer;0010/0017/0019 enligt profil. → Beräkna räknare från faktiskt serialiserad struktur.</x:v>
      </x:c>
      <x:c r="F106" s="19" t="str">
        <x:v>Återanvänd inte filnamn som tekniskt id; inga handskrivna stale segmentantal.</x:v>
      </x:c>
      <x:c r="G106" s="19" t="str">
        <x:v>ENV-03</x:v>
      </x:c>
      <x:c r="H106" s="19" t="str">
        <x:v>Planerat regelbeteendeprov</x:v>
      </x:c>
      <x:c r="I106" s="19" t="str">
        <x:v>Inte körd mot systemet</x:v>
      </x:c>
      <x:c r="J106" s="19" t="str"/>
    </x:row>
    <x:row r="107" ht="36.599998474121094" customHeight="1">
      <x:c r="A107" s="19" t="str">
        <x:v>AT-ENV-04</x:v>
      </x:c>
      <x:c r="B107" s="19" t="str">
        <x:v>Regelkontrakt: ENV-04</x:v>
      </x:c>
      <x:c r="C107" s="19" t="str">
        <x:v>UNB</x:v>
      </x:c>
      <x:c r="D107" s="19" t="str">
        <x:v>Utgående – prova både uppfyllt villkor och relevant fel-/gränsfall.</x:v>
      </x:c>
      <x:c r="E107" s="19" t="str">
        <x:v>UNB/0031=1 när CONTRL ska begäras; utelämna för CONTRL. → Samma kvittensbeslut används i kuvert och bevakning.</x:v>
      </x:c>
      <x:c r="F107" s="19" t="str">
        <x:v>AB i BGM ersätter inte0031; skapa inte kvittensloop.</x:v>
      </x:c>
      <x:c r="G107" s="19" t="str">
        <x:v>ENV-04</x:v>
      </x:c>
      <x:c r="H107" s="19" t="str">
        <x:v>Planerat regelbeteendeprov</x:v>
      </x:c>
      <x:c r="I107" s="19" t="str">
        <x:v>Inte körd mot systemet</x:v>
      </x:c>
      <x:c r="J107" s="19" t="str"/>
    </x:row>
    <x:row r="108" ht="50.400001525878906" customHeight="1">
      <x:c r="A108" s="19" t="str">
        <x:v>AT-ENV-05</x:v>
      </x:c>
      <x:c r="B108" s="19" t="str">
        <x:v>Regelkontrakt: ENV-05</x:v>
      </x:c>
      <x:c r="C108" s="19" t="str">
        <x:v>UNB testflagga</x:v>
      </x:c>
      <x:c r="D108" s="19" t="str">
        <x:v>Parse/render – prova både uppfyllt villkor och relevant fel-/gränsfall.</x:v>
      </x:c>
      <x:c r="E108" s="19" t="str">
        <x:v>0035=1 för test; produktion utelämnar flaggan. → Separata identiteter, routing, dedupe och transportspärrar för test/replay/produktion.</x:v>
      </x:c>
      <x:c r="F108" s="19" t="str">
        <x:v>Sätt inte0 som ersättning; kör aldrig TGTreferens som produktionsaffär.</x:v>
      </x:c>
      <x:c r="G108" s="19" t="str">
        <x:v>ENV-05</x:v>
      </x:c>
      <x:c r="H108" s="19" t="str">
        <x:v>Planerat regelbeteendeprov</x:v>
      </x:c>
      <x:c r="I108" s="19" t="str">
        <x:v>Inte körd mot systemet</x:v>
      </x:c>
      <x:c r="J108" s="19" t="str"/>
    </x:row>
    <x:row r="109" ht="36.599998474121094" customHeight="1">
      <x:c r="A109" s="19" t="str">
        <x:v>AT-ENV-06</x:v>
      </x:c>
      <x:c r="B109" s="19" t="str">
        <x:v>Regelkontrakt: ENV-06</x:v>
      </x:c>
      <x:c r="C109" s="19" t="str">
        <x:v>PRODAT</x:v>
      </x:c>
      <x:c r="D109" s="19" t="str">
        <x:v>BGM/CCI byggs – prova både uppfyllt villkor och relevant fel-/gränsfall.</x:v>
      </x:c>
      <x:c r="E109" s="19" t="str">
        <x:v>BGM bär Z-funktion utan suffix; CCI Z13/CAV bär treteckenskod för undertyp. → Z03 + Z22 betyder Z03L, inte BGM+Z03L.</x:v>
      </x:c>
      <x:c r="F109" s="19" t="str">
        <x:v>Avvisa fel kombination på rätt kontrollnivå.</x:v>
      </x:c>
      <x:c r="G109" s="19" t="str">
        <x:v>ENV-06</x:v>
      </x:c>
      <x:c r="H109" s="19" t="str">
        <x:v>Planerat regelbeteendeprov</x:v>
      </x:c>
      <x:c r="I109" s="19" t="str">
        <x:v>Inte körd mot systemet</x:v>
      </x:c>
      <x:c r="J109" s="19" t="str"/>
    </x:row>
    <x:row r="110" ht="50.400001525878906" customHeight="1">
      <x:c r="A110" s="19" t="str">
        <x:v>AT-ENV-07</x:v>
      </x:c>
      <x:c r="B110" s="19" t="str">
        <x:v>Regelkontrakt: ENV-07</x:v>
      </x:c>
      <x:c r="C110" s="19" t="str">
        <x:v>PRODAT</x:v>
      </x:c>
      <x:c r="D110" s="19" t="str">
        <x:v>Batchning – prova både uppfyllt villkor och relevant fel-/gränsfall.</x:v>
      </x:c>
      <x:c r="E110" s="19" t="str">
        <x:v>Blanda inte olika PRODAT-funktioner i samma UNB–UNZ. → Batcha kompatibla objekt med gemensam aktör/profil/roll; tenantseparation som extra internt skydd.</x:v>
      </x:c>
      <x:c r="F110" s="19" t="str">
        <x:v>Dela batchen; inte generisk multi-message-blandning.</x:v>
      </x:c>
      <x:c r="G110" s="19" t="str">
        <x:v>ENV-07</x:v>
      </x:c>
      <x:c r="H110" s="19" t="str">
        <x:v>Planerat regelbeteendeprov</x:v>
      </x:c>
      <x:c r="I110" s="19" t="str">
        <x:v>Inte körd mot systemet</x:v>
      </x:c>
      <x:c r="J110" s="19" t="str"/>
    </x:row>
    <x:row r="111" ht="50.400001525878906" customHeight="1">
      <x:c r="A111" s="19" t="str">
        <x:v>AT-ENV-08</x:v>
      </x:c>
      <x:c r="B111" s="19" t="str">
        <x:v>Regelkontrakt: ENV-08</x:v>
      </x:c>
      <x:c r="C111" s="19" t="str">
        <x:v>PRODAT/UTILTS och UNB</x:v>
      </x:c>
      <x:c r="D111" s="19" t="str">
        <x:v>Datumkodning – prova både uppfyllt villkor och relevant fel-/gränsfall.</x:v>
      </x:c>
      <x:c r="E111" s="19" t="str">
        <x:v>Payload fast normaltid: P DTMZZZ=1:805, U DTM735=+0100:406; UNB lokal tid enligt regeln. → Lagra UTC plus originaloffset/format och affärsdatum; konvertera uttryckligt.</x:v>
      </x:c>
      <x:c r="F111" s="19" t="str">
        <x:v>Använd inte sommartid för varje payloadperiod eller92/100 kvartar per fast-CET-dygn.</x:v>
      </x:c>
      <x:c r="G111" s="19" t="str">
        <x:v>ENV-08</x:v>
      </x:c>
      <x:c r="H111" s="19" t="str">
        <x:v>Planerat regelbeteendeprov</x:v>
      </x:c>
      <x:c r="I111" s="19" t="str">
        <x:v>Inte körd mot systemet</x:v>
      </x:c>
      <x:c r="J111" s="19" t="str"/>
    </x:row>
    <x:row r="112" ht="50.400001525878906" customHeight="1">
      <x:c r="A112" s="19" t="str">
        <x:v>AT-ENV-09</x:v>
      </x:c>
      <x:c r="B112" s="19" t="str">
        <x:v>Regelkontrakt: ENV-09</x:v>
      </x:c>
      <x:c r="C112" s="19" t="str">
        <x:v>Alla familjer</x:v>
      </x:c>
      <x:c r="D112" s="19" t="str">
        <x:v>Syntaxkontroll – prova både uppfyllt villkor och relevant fel-/gränsfall.</x:v>
      </x:c>
      <x:c r="E112" s="19" t="str">
        <x:v>Nationella segmenttabeller kan utelämna senare ej använda element; full UNSM-grammatik krävs för riktig syntax-M/kardinalitet. → Versionera parsergrammatik separat från nationell fältanvändning.</x:v>
      </x:c>
      <x:c r="F112" s="19" t="str">
        <x:v>En kort svensk tabell får inte bli falskt strikt UNECE-syntax.</x:v>
      </x:c>
      <x:c r="G112" s="19" t="str">
        <x:v>ENV-09</x:v>
      </x:c>
      <x:c r="H112" s="19" t="str">
        <x:v>Planerat regelbeteendeprov</x:v>
      </x:c>
      <x:c r="I112" s="19" t="str">
        <x:v>Inte körd mot systemet</x:v>
      </x:c>
      <x:c r="J112" s="19" t="str"/>
    </x:row>
    <x:row r="113" ht="50.400001525878906" customHeight="1">
      <x:c r="A113" s="19" t="str">
        <x:v>AT-P-01</x:v>
      </x:c>
      <x:c r="B113" s="19" t="str">
        <x:v>Regelkontrakt: P-01</x:v>
      </x:c>
      <x:c r="C113" s="19" t="str">
        <x:v>Alla P</x:v>
      </x:c>
      <x:c r="D113" s="19" t="str">
        <x:v>Fältkontroll – prova både uppfyllt villkor och relevant fel-/gränsfall.</x:v>
      </x:c>
      <x:c r="E113" s="19" t="str">
        <x:v>74 numeriska fält +3 parentgrupper;110bas-D-celler och registeroverlay hanteras uttryckligt. → Fältresultat bär riktigt fältnummer, grupp/komponent, objekt/ärende och källregel.</x:v>
      </x:c>
      <x:c r="F113" s="19" t="str">
        <x:v>Inget fältnummer från regex över DTM/RFF-text.</x:v>
      </x:c>
      <x:c r="G113" s="19" t="str">
        <x:v>P-01</x:v>
      </x:c>
      <x:c r="H113" s="19" t="str">
        <x:v>Planerat regelbeteendeprov</x:v>
      </x:c>
      <x:c r="I113" s="19" t="str">
        <x:v>Inte körd mot systemet</x:v>
      </x:c>
      <x:c r="J113" s="19" t="str"/>
    </x:row>
    <x:row r="114" ht="36.599998474121094" customHeight="1">
      <x:c r="A114" s="19" t="str">
        <x:v>AT-P-02</x:v>
      </x:c>
      <x:c r="B114" s="19" t="str">
        <x:v>Regelkontrakt: P-02</x:v>
      </x:c>
      <x:c r="C114" s="19" t="str">
        <x:v>Extra X/icke-tillämplig D</x:v>
      </x:c>
      <x:c r="D114" s="19" t="str">
        <x:v>Giltig syntax och extra data – prova både uppfyllt villkor och relevant fel-/gränsfall.</x:v>
      </x:c>
      <x:c r="E114" s="19" t="str">
        <x:v>Nationell extra information som ska ignoreras får inte utlösa negativ APERAK. → Ignorera för affärsprojektion; bevara råpayload.</x:v>
      </x:c>
      <x:c r="F114" s="19" t="str">
        <x:v>Skilj verkligt för många syntaxelement från tillåtna men ej använda nationella fält.</x:v>
      </x:c>
      <x:c r="G114" s="19" t="str">
        <x:v>P-02</x:v>
      </x:c>
      <x:c r="H114" s="19" t="str">
        <x:v>Planerat regelbeteendeprov</x:v>
      </x:c>
      <x:c r="I114" s="19" t="str">
        <x:v>Inte körd mot systemet</x:v>
      </x:c>
      <x:c r="J114" s="19" t="str"/>
    </x:row>
    <x:row r="115" ht="50.400001525878906" customHeight="1">
      <x:c r="A115" s="19" t="str">
        <x:v>AT-P-03</x:v>
      </x:c>
      <x:c r="B115" s="19" t="str">
        <x:v>Regelkontrakt: P-03</x:v>
      </x:c>
      <x:c r="C115" s="19" t="str">
        <x:v>D-villkor</x:v>
      </x:c>
      <x:c r="D115" s="19" t="str">
        <x:v>Utgående profil – prova både uppfyllt villkor och relevant fel-/gränsfall.</x:v>
      </x:c>
      <x:c r="E115" s="19" t="str">
        <x:v>Treutfall: sant/falskt/okänt; falskt kan vara O eller X enligt specifik notering. → Rfält fylls från auktoritativa fakta; Ofält enligt medvetet val.</x:v>
      </x:c>
      <x:c r="F115" s="19" t="str">
        <x:v>Ingen blanketregel Dfalse=forbidden; saknad lokal fakta blockerar egen sändning.</x:v>
      </x:c>
      <x:c r="G115" s="19" t="str">
        <x:v>P-03</x:v>
      </x:c>
      <x:c r="H115" s="19" t="str">
        <x:v>Planerat regelbeteendeprov</x:v>
      </x:c>
      <x:c r="I115" s="19" t="str">
        <x:v>Inte körd mot systemet</x:v>
      </x:c>
      <x:c r="J115" s="19" t="str"/>
    </x:row>
    <x:row r="116" ht="50.400001525878906" customHeight="1">
      <x:c r="A116" s="19" t="str">
        <x:v>AT-P-04</x:v>
      </x:c>
      <x:c r="B116" s="19" t="str">
        <x:v>Regelkontrakt: P-04</x:v>
      </x:c>
      <x:c r="C116" s="19" t="str">
        <x:v>Z14N/NAD</x:v>
      </x:c>
      <x:c r="D116" s="19" t="str">
        <x:v>Fältkontroll – prova både uppfyllt villkor och relevant fel-/gränsfall.</x:v>
      </x:c>
      <x:c r="E116" s="19" t="str">
        <x:v>Inaktiv grupp gör barnfälten icke-tillämpliga även om basmatrisen visarR. → Z14N kan vara giltig utan UD/IT/tillståndsid/positiva tillståndsfält.</x:v>
      </x:c>
      <x:c r="F116" s="19" t="str">
        <x:v>Kräv inte land316 ellerIT233/234 utan grupp.</x:v>
      </x:c>
      <x:c r="G116" s="19" t="str">
        <x:v>P-04</x:v>
      </x:c>
      <x:c r="H116" s="19" t="str">
        <x:v>Planerat regelbeteendeprov</x:v>
      </x:c>
      <x:c r="I116" s="19" t="str">
        <x:v>Inte körd mot systemet</x:v>
      </x:c>
      <x:c r="J116" s="19" t="str"/>
    </x:row>
    <x:row r="117" ht="50.400001525878906" customHeight="1">
      <x:c r="A117" s="19" t="str">
        <x:v>AT-P-05</x:v>
      </x:c>
      <x:c r="B117" s="19" t="str">
        <x:v>Regelkontrakt: P-05</x:v>
      </x:c>
      <x:c r="C117" s="19" t="str">
        <x:v>Z04/Z06/Z10</x:v>
      </x:c>
      <x:c r="D117" s="19" t="str">
        <x:v>LIN-grupper behandlas – prova både uppfyllt villkor och relevant fel-/gränsfall.</x:v>
      </x:c>
      <x:c r="E117" s="19" t="str">
        <x:v>314ärglobaltsekvensnr;258registerindex per objekt; alla register och villkor enligt bilaga2. → Kontrollera registerspecifika kärnfält, ärv tillåten första-registerinformation.</x:v>
      </x:c>
      <x:c r="F117" s="19" t="str">
        <x:v>Kopiera inte basmatrisens allaR till register2+; ignorera extra upprepade icke-styrande fält där guiden säger det.</x:v>
      </x:c>
      <x:c r="G117" s="19" t="str">
        <x:v>P-05</x:v>
      </x:c>
      <x:c r="H117" s="19" t="str">
        <x:v>Planerat regelbeteendeprov</x:v>
      </x:c>
      <x:c r="I117" s="19" t="str">
        <x:v>Inte körd mot systemet</x:v>
      </x:c>
      <x:c r="J117" s="19" t="str"/>
    </x:row>
    <x:row r="118" ht="50.400001525878906" customHeight="1">
      <x:c r="A118" s="19" t="str">
        <x:v>AT-P-06</x:v>
      </x:c>
      <x:c r="B118" s="19" t="str">
        <x:v>Regelkontrakt: P-06</x:v>
      </x:c>
      <x:c r="C118" s="19" t="str">
        <x:v>Kund och anläggning</x:v>
      </x:c>
      <x:c r="D118" s="19" t="str">
        <x:v>Render/validate – prova både uppfyllt villkor och relevant fel-/gränsfall.</x:v>
      </x:c>
      <x:c r="E118" s="19" t="str">
        <x:v>NADUD SE1/SE2 kodlisteansvarig260 i aktuellprofil; Z13 använder inte födelsedatum som kund-id. → Bevara verifierad kundidentitet och skyddade-identitetsregler.</x:v>
      </x:c>
      <x:c r="F118" s="19" t="str">
        <x:v>Ingen UUID-fallback/namngissning; ändra inte allaZZZglobalt.</x:v>
      </x:c>
      <x:c r="G118" s="19" t="str">
        <x:v>P-06</x:v>
      </x:c>
      <x:c r="H118" s="19" t="str">
        <x:v>Planerat regelbeteendeprov</x:v>
      </x:c>
      <x:c r="I118" s="19" t="str">
        <x:v>Inte körd mot systemet</x:v>
      </x:c>
      <x:c r="J118" s="19" t="str"/>
    </x:row>
    <x:row r="119" ht="50.400001525878906" customHeight="1">
      <x:c r="A119" s="19" t="str">
        <x:v>AT-P-07</x:v>
      </x:c>
      <x:c r="B119" s="19" t="str">
        <x:v>Regelkontrakt: P-07</x:v>
      </x:c>
      <x:c r="C119" s="19" t="str">
        <x:v>Z13/Z14</x:v>
      </x:c>
      <x:c r="D119" s="19" t="str">
        <x:v>Energi-id och rapportperiod – prova både uppfyllt villkor och relevant fel-/gränsfall.</x:v>
      </x:c>
      <x:c r="E119" s="19" t="str">
        <x:v>Energiprodukt506 i andra7110; rapportstart90,slut91; detta är inte242aggregatprodukt eller avtals92/93. → CAV+::::energi-id, rätt DTM och faktisktLIN även utan objekt-id.</x:v>
      </x:c>
      <x:c r="F119" s="19" t="str">
        <x:v>Saknad/feluppgift klassificeras perfält; referensexempel med positiv kvittens är inte automatisk norm.</x:v>
      </x:c>
      <x:c r="G119" s="19" t="str">
        <x:v>P-07</x:v>
      </x:c>
      <x:c r="H119" s="19" t="str">
        <x:v>Planerat regelbeteendeprov</x:v>
      </x:c>
      <x:c r="I119" s="19" t="str">
        <x:v>Inte körd mot systemet</x:v>
      </x:c>
      <x:c r="J119" s="19" t="str"/>
    </x:row>
    <x:row r="120" ht="50.400001525878906" customHeight="1">
      <x:c r="A120" s="19" t="str">
        <x:v>AT-P-08</x:v>
      </x:c>
      <x:c r="B120" s="19" t="str">
        <x:v>Regelkontrakt: P-08</x:v>
      </x:c>
      <x:c r="C120" s="19" t="str">
        <x:v>Z09D</x:v>
      </x:c>
      <x:c r="D120" s="19" t="str">
        <x:v>Start eller slut produktionsavtal – prova både uppfyllt villkor och relevant fel-/gränsfall.</x:v>
      </x:c>
      <x:c r="E120" s="19" t="str">
        <x:v>210 XOR211; inte216 i stället. → Bygg92eller93; vid giltig mottagning uppdatera rätt produktionsrelation.</x:v>
      </x:c>
      <x:c r="F120" s="19" t="str">
        <x:v>Båda: P-APERAK40/109; ingen generell157.</x:v>
      </x:c>
      <x:c r="G120" s="19" t="str">
        <x:v>P-08</x:v>
      </x:c>
      <x:c r="H120" s="19" t="str">
        <x:v>Planerat regelbeteendeprov</x:v>
      </x:c>
      <x:c r="I120" s="19" t="str">
        <x:v>Inte körd mot systemet</x:v>
      </x:c>
      <x:c r="J120" s="19" t="str"/>
    </x:row>
    <x:row r="121" ht="50.400001525878906" customHeight="1">
      <x:c r="A121" s="19" t="str">
        <x:v>AT-P-09</x:v>
      </x:c>
      <x:c r="B121" s="19" t="str">
        <x:v>Regelkontrakt: P-09</x:v>
      </x:c>
      <x:c r="C121" s="19" t="str">
        <x:v>Z06E/Z09E</x:v>
      </x:c>
      <x:c r="D121" s="19" t="str">
        <x:v>Kundlivshändelse – prova både uppfyllt villkor och relevant fel-/gränsfall.</x:v>
      </x:c>
      <x:c r="E121" s="19" t="str">
        <x:v>Fält310ärdödsfallsstatus; andraE34-fall behöver rätt process/överenskommelse. → Z09E inkluderarUD; Z06E gör bara behöriga och källstödda uppdateringar.</x:v>
      </x:c>
      <x:c r="F121" s="19" t="str">
        <x:v>Konkurs ska inte automatiskt bli dödsfall; övrigaZ09ska inte fåUD.</x:v>
      </x:c>
      <x:c r="G121" s="19" t="str">
        <x:v>P-09</x:v>
      </x:c>
      <x:c r="H121" s="19" t="str">
        <x:v>Planerat regelbeteendeprov</x:v>
      </x:c>
      <x:c r="I121" s="19" t="str">
        <x:v>Inte körd mot systemet</x:v>
      </x:c>
      <x:c r="J121" s="19" t="str"/>
    </x:row>
    <x:row r="122" ht="50.400001525878906" customHeight="1">
      <x:c r="A122" s="19" t="str">
        <x:v>AT-P-10</x:v>
      </x:c>
      <x:c r="B122" s="19" t="str">
        <x:v>Regelkontrakt: P-10</x:v>
      </x:c>
      <x:c r="C122" s="19" t="str">
        <x:v>Z01/Z02 i leverantörsrollen</x:v>
      </x:c>
      <x:c r="D122" s="19" t="str">
        <x:v>Uppgiftskontroll – prova både uppfyllt villkor och relevant fel-/gränsfall.</x:v>
      </x:c>
      <x:c r="E122" s="19" t="str">
        <x:v>Korrelera Z02 till Z01 med LI, parter, objekt, nätområde och kundidentitet. Z02 är inte en startbekräftelse. → Verifiera uppgifterna; gör därefter en separat prövning av om en Z03 ska skapas.</x:v>
      </x:c>
      <x:c r="F122" s="19" t="str">
        <x:v>Ingen aktiv leverans och ingen automatisk Z03 utan återstående avtals- och datumkontroller.</x:v>
      </x:c>
      <x:c r="G122" s="19" t="str">
        <x:v>P-10</x:v>
      </x:c>
      <x:c r="H122" s="19" t="str">
        <x:v>Planerat regelbeteendeprov</x:v>
      </x:c>
      <x:c r="I122" s="19" t="str">
        <x:v>Inte körd mot systemet</x:v>
      </x:c>
      <x:c r="J122" s="19" t="str"/>
    </x:row>
    <x:row r="123" ht="50.400001525878906" customHeight="1">
      <x:c r="A123" s="19" t="str">
        <x:v>AT-P-11</x:v>
      </x:c>
      <x:c r="B123" s="19" t="str">
        <x:v>Regelkontrakt: P-11</x:v>
      </x:c>
      <x:c r="C123" s="19" t="str">
        <x:v>Z03/Z04 av typen L eller LK</x:v>
      </x:c>
      <x:c r="D123" s="19" t="str">
        <x:v>Bekräftelse av byte eller flytt – prova både uppfyllt villkor och relevant fel-/gränsfall.</x:v>
      </x:c>
      <x:c r="E123" s="19" t="str">
        <x:v>Kontrollera rätt objekt, parter, LI, undertyp och datum. En giltig Z04 kan komma före positiv APERAK. → Registrera bekräftad framtida leverans; aktivera vid rätt tid om ärendet fortfarande är giltigt.</x:v>
      </x:c>
      <x:c r="F123" s="19" t="str">
        <x:v>SMTP250, CONTRL, APERAK och Z02 räcker inte för aktivering. Sena kvittenser får inte backa ett giltigt affärstillstånd.</x:v>
      </x:c>
      <x:c r="G123" s="19" t="str">
        <x:v>P-11</x:v>
      </x:c>
      <x:c r="H123" s="19" t="str">
        <x:v>Planerat regelbeteendeprov</x:v>
      </x:c>
      <x:c r="I123" s="19" t="str">
        <x:v>Inte körd mot systemet</x:v>
      </x:c>
      <x:c r="J123" s="19" t="str"/>
    </x:row>
    <x:row r="124" ht="50.400001525878906" customHeight="1">
      <x:c r="A124" s="19" t="str">
        <x:v>AT-P-12</x:v>
      </x:c>
      <x:c r="B124" s="19" t="str">
        <x:v>Regelkontrakt: P-12</x:v>
      </x:c>
      <x:c r="C124" s="19" t="str">
        <x:v>Z04A och Z04D</x:v>
      </x:c>
      <x:c r="D124" s="19" t="str">
        <x:v>Anvisning eller mottagningsplikt – prova både uppfyllt villkor och relevant fel-/gränsfall.</x:v>
      </x:c>
      <x:c r="E124" s="19" t="str">
        <x:v>Verifiera respektive roll, avtal, nätområde och produktionskoppling. → Använd en särskild transitionsprofil som inte kräver en vanlig egen Z03.</x:v>
      </x:c>
      <x:c r="F124" s="19" t="str">
        <x:v>Kräv inte samma förutsättningar som Z04L, men kringgå inte de särskilda behörighetskraven.</x:v>
      </x:c>
      <x:c r="G124" s="19" t="str">
        <x:v>P-12</x:v>
      </x:c>
      <x:c r="H124" s="19" t="str">
        <x:v>Planerat regelbeteendeprov</x:v>
      </x:c>
      <x:c r="I124" s="19" t="str">
        <x:v>Inte körd mot systemet</x:v>
      </x:c>
      <x:c r="J124" s="19" t="str"/>
    </x:row>
    <x:row r="125" ht="50.400001525878906" customHeight="1">
      <x:c r="A125" s="19" t="str">
        <x:v>AT-P-13</x:v>
      </x:c>
      <x:c r="B125" s="19" t="str">
        <x:v>Regelkontrakt: P-13</x:v>
      </x:c>
      <x:c r="C125" s="19" t="str">
        <x:v>Z05 och Z08</x:v>
      </x:c>
      <x:c r="D125" s="19" t="str">
        <x:v>Leveransslut – prova både uppfyllt villkor och relevant fel-/gränsfall.</x:v>
      </x:c>
      <x:c r="E125" s="19" t="str">
        <x:v>Matcha den leveransrelation och den tidshändelse som faktiskt avses. → Versionera slutet, bevara historiken och initiera relevant slutvärdes- och fakturauppföljning.</x:v>
      </x:c>
      <x:c r="F125" s="19" t="str">
        <x:v>Radera inte kunden, andra anläggningar eller ESCO-grants.</x:v>
      </x:c>
      <x:c r="G125" s="19" t="str">
        <x:v>P-13</x:v>
      </x:c>
      <x:c r="H125" s="19" t="str">
        <x:v>Planerat regelbeteendeprov</x:v>
      </x:c>
      <x:c r="I125" s="19" t="str">
        <x:v>Inte körd mot systemet</x:v>
      </x:c>
      <x:c r="J125" s="19" t="str"/>
    </x:row>
    <x:row r="126" ht="50.400001525878906" customHeight="1">
      <x:c r="A126" s="19" t="str">
        <x:v>AT-P-14</x:v>
      </x:c>
      <x:c r="B126" s="19" t="str">
        <x:v>Regelkontrakt: P-14</x:v>
      </x:c>
      <x:c r="C126" s="19" t="str">
        <x:v>Z03C, Z04C, Z05C och Z15C</x:v>
      </x:c>
      <x:c r="D126" s="19" t="str">
        <x:v>Återtag – prova både uppfyllt villkor och relevant fel-/gränsfall.</x:v>
      </x:c>
      <x:c r="E126" s="19" t="str">
        <x:v>Bind till rätt original. Hantera ordningsfel utan dubbel affärseffekt. → Gör endast den kancellering eller kompensation som hör till processen.</x:v>
      </x:c>
      <x:c r="F126" s="19" t="str">
        <x:v>Skapa inte Z13C/Z14C och använd inte en generell C-variant för alla Z-funktioner.</x:v>
      </x:c>
      <x:c r="G126" s="19" t="str">
        <x:v>P-14</x:v>
      </x:c>
      <x:c r="H126" s="19" t="str">
        <x:v>Planerat regelbeteendeprov</x:v>
      </x:c>
      <x:c r="I126" s="19" t="str">
        <x:v>Inte körd mot systemet</x:v>
      </x:c>
      <x:c r="J126" s="19" t="str"/>
    </x:row>
    <x:row r="127" ht="50.400001525878906" customHeight="1">
      <x:c r="A127" s="19" t="str">
        <x:v>AT-P-15</x:v>
      </x:c>
      <x:c r="B127" s="19" t="str">
        <x:v>Regelkontrakt: P-15</x:v>
      </x:c>
      <x:c r="C127" s="19" t="str">
        <x:v>Z06 och Z10</x:v>
      </x:c>
      <x:c r="D127" s="19" t="str">
        <x:v>Giltig strukturändring – prova både uppfyllt villkor och relevant fel-/gränsfall.</x:v>
      </x:c>
      <x:c r="E127" s="19" t="str">
        <x:v>Lagra giltighetstid och mottagningstid separat. En framtida leverantör kan behöva struktur före start. → Använd rätt mätare, register och produkt för varje tidsperiod.</x:v>
      </x:c>
      <x:c r="F127" s="19" t="str">
        <x:v>Skriv inte över historiken i en enda global rad och dubbelräkna inte registerenergi.</x:v>
      </x:c>
      <x:c r="G127" s="19" t="str">
        <x:v>P-15</x:v>
      </x:c>
      <x:c r="H127" s="19" t="str">
        <x:v>Planerat regelbeteendeprov</x:v>
      </x:c>
      <x:c r="I127" s="19" t="str">
        <x:v>Inte körd mot systemet</x:v>
      </x:c>
      <x:c r="J127" s="19" t="str"/>
    </x:row>
    <x:row r="128" ht="50.400001525878906" customHeight="1">
      <x:c r="A128" s="19" t="str">
        <x:v>AT-P-16</x:v>
      </x:c>
      <x:c r="B128" s="19" t="str">
        <x:v>Regelkontrakt: P-16</x:v>
      </x:c>
      <x:c r="C128" s="19" t="str">
        <x:v>Z08LK, Z03H, Z04H, Z05H, Z04A och andra E34-fall</x:v>
      </x:c>
      <x:c r="D128" s="19" t="str">
        <x:v>Kapabilitetsprövning – prova både uppfyllt villkor och relevant fel-/gränsfall.</x:v>
      </x:c>
      <x:c r="E128" s="19" t="str">
        <x:v>Kombinationen ska vara tillåten och omfattas av dokumenterad motpartsspecifik överenskommelse och implementation. → Aktivera bara avtalad omfattning och giltighet.</x:v>
      </x:c>
      <x:c r="F128" s="19" t="str">
        <x:v>Ett globalt bilateral=true eller ett testgodkännande för annan aktör räcker inte.</x:v>
      </x:c>
      <x:c r="G128" s="19" t="str">
        <x:v>P-16</x:v>
      </x:c>
      <x:c r="H128" s="19" t="str">
        <x:v>Planerat regelbeteendeprov</x:v>
      </x:c>
      <x:c r="I128" s="19" t="str">
        <x:v>Inte körd mot systemet</x:v>
      </x:c>
      <x:c r="J128" s="19" t="str"/>
    </x:row>
    <x:row r="129" ht="50.400001525878906" customHeight="1">
      <x:c r="A129" s="19" t="str">
        <x:v>AT-P-17</x:v>
      </x:c>
      <x:c r="B129" s="19" t="str">
        <x:v>Regelkontrakt: P-17</x:v>
      </x:c>
      <x:c r="C129" s="19" t="str">
        <x:v>PRODAT med LIN-grupper</x:v>
      </x:c>
      <x:c r="D129" s="19" t="str">
        <x:v>Sekvenskontroll – prova både uppfyllt villkor och relevant fel-/gränsfall.</x:v>
      </x:c>
      <x:c r="E129" s="19" t="str">
        <x:v>Första fält 314 ska vara 1 och följande nummer ska vara obrutet stigande. → Fortsätt genom samtliga relevanta objekt och register.</x:v>
      </x:c>
      <x:c r="F129" s="19" t="str">
        <x:v>Avvisa hela meddelandet med P-APERAK BGM27 och relevant felinformation; tolka inte sekvensfelet som fel anläggnings-id.</x:v>
      </x:c>
      <x:c r="G129" s="19" t="str">
        <x:v>P-17</x:v>
      </x:c>
      <x:c r="H129" s="19" t="str">
        <x:v>Planerat regelbeteendeprov</x:v>
      </x:c>
      <x:c r="I129" s="19" t="str">
        <x:v>Inte körd mot systemet</x:v>
      </x:c>
      <x:c r="J129" s="19" t="str"/>
    </x:row>
    <x:row r="130" ht="50.400001525878906" customHeight="1">
      <x:c r="A130" s="19" t="str">
        <x:v>AT-ESCO-01</x:v>
      </x:c>
      <x:c r="B130" s="19" t="str">
        <x:v>Regelkontrakt: ESCO-01</x:v>
      </x:c>
      <x:c r="C130" s="19" t="str">
        <x:v>Z13</x:v>
      </x:c>
      <x:c r="D130" s="19" t="str">
        <x:v>Ny rättighetsbegäran – prova både uppfyllt villkor och relevant fel-/gränsfall.</x:v>
      </x:c>
      <x:c r="E130" s="19" t="str">
        <x:v>Verifiera legal DGI-aktör, slutkundsavtal, DSO-avtal och avsedd omfattning av objekt, period, produkter och ändamål. → Skapa väntande begäran, knyt service_assignment och skicka rätt V/VH.</x:v>
      </x:c>
      <x:c r="F130" s="19" t="str">
        <x:v>Ett avtal med beneficiary-tenant ger inte ensamt rätt till kundens mätvärden.</x:v>
      </x:c>
      <x:c r="G130" s="19" t="str">
        <x:v>ESCO-01</x:v>
      </x:c>
      <x:c r="H130" s="19" t="str">
        <x:v>Planerat regelbeteendeprov</x:v>
      </x:c>
      <x:c r="I130" s="19" t="str">
        <x:v>Inte körd mot systemet</x:v>
      </x:c>
      <x:c r="J130" s="19" t="str"/>
    </x:row>
    <x:row r="131" ht="50.400001525878906" customHeight="1">
      <x:c r="A131" s="19" t="str">
        <x:v>AT-ESCO-02</x:v>
      </x:c>
      <x:c r="B131" s="19" t="str">
        <x:v>Regelkontrakt: ESCO-02</x:v>
      </x:c>
      <x:c r="C131" s="19" t="str">
        <x:v>Z13V respektive Z13VH</x:v>
      </x:c>
      <x:c r="D131" s="19" t="str">
        <x:v>Rapportperiod väljs – prova både uppfyllt villkor och relevant fel-/gränsfall.</x:v>
      </x:c>
      <x:c r="E131" s="19" t="str">
        <x:v>V är löpande och VH avgränsad historik. Pröva treårsgräns och relevant nätavtalsperiod; VH kräver slutdatum. → Behåll separata processer, timers och samordning av rättigheter.</x:v>
      </x:c>
      <x:c r="F131" s="19" t="str">
        <x:v>Använd inte VH för löpande rapportering och anta inte att slutkundens godkännande redan finns.</x:v>
      </x:c>
      <x:c r="G131" s="19" t="str">
        <x:v>ESCO-02</x:v>
      </x:c>
      <x:c r="H131" s="19" t="str">
        <x:v>Planerat regelbeteendeprov</x:v>
      </x:c>
      <x:c r="I131" s="19" t="str">
        <x:v>Inte körd mot systemet</x:v>
      </x:c>
      <x:c r="J131" s="19" t="str"/>
    </x:row>
    <x:row r="132" ht="36.599998474121094" customHeight="1">
      <x:c r="A132" s="19" t="str">
        <x:v>AT-ESCO-03</x:v>
      </x:c>
      <x:c r="B132" s="19" t="str">
        <x:v>Regelkontrakt: ESCO-03</x:v>
      </x:c>
      <x:c r="C132" s="19" t="str">
        <x:v>Positiv APERAK på Z13</x:v>
      </x:c>
      <x:c r="D132" s="19" t="str">
        <x:v>Kvittens tas emot – prova både uppfyllt villkor och relevant fel-/gränsfall.</x:v>
      </x:c>
      <x:c r="E132" s="19" t="str">
        <x:v>Kvittensen godkänner att begäran behandlas, inte slutkundens medgivande. → Sätt awaiting_customer_decision och bevaka Z14/Z14N.</x:v>
      </x:c>
      <x:c r="F132" s="19" t="str">
        <x:v>Skapa varken market_permission eller aktiv elleverans enbart från APERAK.</x:v>
      </x:c>
      <x:c r="G132" s="19" t="str">
        <x:v>ESCO-03</x:v>
      </x:c>
      <x:c r="H132" s="19" t="str">
        <x:v>Planerat regelbeteendeprov</x:v>
      </x:c>
      <x:c r="I132" s="19" t="str">
        <x:v>Inte körd mot systemet</x:v>
      </x:c>
      <x:c r="J132" s="19" t="str"/>
    </x:row>
    <x:row r="133" ht="64.19999694824219" customHeight="1">
      <x:c r="A133" s="19" t="str">
        <x:v>AT-ESCO-04</x:v>
      </x:c>
      <x:c r="B133" s="19" t="str">
        <x:v>Regelkontrakt: ESCO-04</x:v>
      </x:c>
      <x:c r="C133" s="19" t="str">
        <x:v>Z14V/Z14VH</x:v>
      </x:c>
      <x:c r="D133" s="19" t="str">
        <x:v>Positivt affärssvar – prova både uppfyllt villkor och relevant fel-/gränsfall.</x:v>
      </x:c>
      <x:c r="E133" s="19" t="str">
        <x:v>A74 och rätt LI, aktör och kund. Föreskrivna objekt-, adress-, tillstånds- och perioduppgifter ska stämma. Bara godkända objekt omfattas. → Skapa avgränsat market_permission; anslut därefter separat godkänd intern distribution.</x:v>
      </x:c>
      <x:c r="F133" s="19" t="str">
        <x:v>Bredda inte till samtliga kundens anläggningar eller andra tenants från ett godkänt objekt.</x:v>
      </x:c>
      <x:c r="G133" s="19" t="str">
        <x:v>ESCO-04</x:v>
      </x:c>
      <x:c r="H133" s="19" t="str">
        <x:v>Planerat regelbeteendeprov</x:v>
      </x:c>
      <x:c r="I133" s="19" t="str">
        <x:v>Inte körd mot systemet</x:v>
      </x:c>
      <x:c r="J133" s="19" t="str"/>
    </x:row>
    <x:row r="134" ht="50.400001525878906" customHeight="1">
      <x:c r="A134" s="19" t="str">
        <x:v>AT-ESCO-05</x:v>
      </x:c>
      <x:c r="B134" s="19" t="str">
        <x:v>Regelkontrakt: ESCO-05</x:v>
      </x:c>
      <x:c r="C134" s="19" t="str">
        <x:v>Z14N</x:v>
      </x:c>
      <x:c r="D134" s="19" t="str">
        <x:v>Aktivt eller passivt nekande – prova både uppfyllt villkor och relevant fel-/gränsfall.</x:v>
      </x:c>
      <x:c r="E134" s="19" t="str">
        <x:v>A13 anger aktivt och A76 passivt nekande. Ett korrekt negativt affärssvar är inte ett protokollfel. → Neka berörd begäran och informera ansvarig utan att exponera andra tenants.</x:v>
      </x:c>
      <x:c r="F134" s="19" t="str">
        <x:v>Skapa inte tillstånd eller negativ APERAK enbart för att nätägaren nekar begäran.</x:v>
      </x:c>
      <x:c r="G134" s="19" t="str">
        <x:v>ESCO-05</x:v>
      </x:c>
      <x:c r="H134" s="19" t="str">
        <x:v>Planerat regelbeteendeprov</x:v>
      </x:c>
      <x:c r="I134" s="19" t="str">
        <x:v>Inte körd mot systemet</x:v>
      </x:c>
      <x:c r="J134" s="19" t="str"/>
    </x:row>
    <x:row r="135" ht="64.19999694824219" customHeight="1">
      <x:c r="A135" s="19" t="str">
        <x:v>AT-ESCO-06</x:v>
      </x:c>
      <x:c r="B135" s="19" t="str">
        <x:v>Regelkontrakt: ESCO-06</x:v>
      </x:c>
      <x:c r="C135" s="19" t="str">
        <x:v>Nya objekt under pågående Z13-begäran</x:v>
      </x:c>
      <x:c r="D135" s="19" t="str">
        <x:v>Ny Z13 önskas – prova både uppfyllt villkor och relevant fel-/gränsfall.</x:v>
      </x:c>
      <x:c r="E135" s="19" t="str">
        <x:v>Koordinera samma aktör, kund och DSO. Tillkommande objekt kan kräva ny begäran; upprepning bedöms enligt Handboken, inte ett universellt negativt APERAK. → Tillåt en relevant ny begäran med spårbar koppling till tidigare förlopp.</x:v>
      </x:c>
      <x:c r="F135" s="19" t="str">
        <x:v>Inför inte ett generellt förbud mot varje ny Z13 före 21 dagar och kringgå inte reglerna genom ett nytt internt tenant-id.</x:v>
      </x:c>
      <x:c r="G135" s="19" t="str">
        <x:v>ESCO-06</x:v>
      </x:c>
      <x:c r="H135" s="19" t="str">
        <x:v>Planerat regelbeteendeprov</x:v>
      </x:c>
      <x:c r="I135" s="19" t="str">
        <x:v>Inte körd mot systemet</x:v>
      </x:c>
      <x:c r="J135" s="19" t="str"/>
    </x:row>
    <x:row r="136" ht="50.400001525878906" customHeight="1">
      <x:c r="A136" s="19" t="str">
        <x:v>AT-ESCO-07</x:v>
      </x:c>
      <x:c r="B136" s="19" t="str">
        <x:v>Regelkontrakt: ESCO-07</x:v>
      </x:c>
      <x:c r="C136" s="19" t="str">
        <x:v>Z15V/Z15VH</x:v>
      </x:c>
      <x:c r="D136" s="19" t="str">
        <x:v>Upphörande eller historikslut – prova både uppfyllt villkor och relevant fel-/gränsfall.</x:v>
      </x:c>
      <x:c r="E136" s="19" t="str">
        <x:v>Tillstånd, orsak, tidpunkt och process ska vara kända och överensstämmande. → Avsluta bara berört marknadstillstånd eller historikjobb; bevara andra separata rättigheter.</x:v>
      </x:c>
      <x:c r="F136" s="19" t="str">
        <x:v>Historikslut får inte upphäva ett separat V-tillstånd. DDQ-leverans ska vara oförändrad.</x:v>
      </x:c>
      <x:c r="G136" s="19" t="str">
        <x:v>ESCO-07</x:v>
      </x:c>
      <x:c r="H136" s="19" t="str">
        <x:v>Planerat regelbeteendeprov</x:v>
      </x:c>
      <x:c r="I136" s="19" t="str">
        <x:v>Inte körd mot systemet</x:v>
      </x:c>
      <x:c r="J136" s="19" t="str"/>
    </x:row>
    <x:row r="137" ht="50.400001525878906" customHeight="1">
      <x:c r="A137" s="19" t="str">
        <x:v>AT-ESCO-08</x:v>
      </x:c>
      <x:c r="B137" s="19" t="str">
        <x:v>Regelkontrakt: ESCO-08</x:v>
      </x:c>
      <x:c r="C137" s="19" t="str">
        <x:v>Z18V</x:v>
      </x:c>
      <x:c r="D137" s="19" t="str">
        <x:v>Begäran om avslut – prova både uppfyllt villkor och relevant fel-/gränsfall.</x:v>
      </x:c>
      <x:c r="E137" s="19" t="str">
        <x:v>Behörig aktör ska avse rätt market_permission. Samordna beroenden från flera beneficiary-uppdrag. → Skicka fält 327/324/325 och bevaka Z15. Begränsa intern åtkomst enligt aktuellt mandat.</x:v>
      </x:c>
      <x:c r="F137" s="19" t="str">
        <x:v>Säg inte upp ett gemensamt tillstånd på ett enskilt UI-klick utan kontroll av andra giltiga uppdrag.</x:v>
      </x:c>
      <x:c r="G137" s="19" t="str">
        <x:v>ESCO-08</x:v>
      </x:c>
      <x:c r="H137" s="19" t="str">
        <x:v>Planerat regelbeteendeprov</x:v>
      </x:c>
      <x:c r="I137" s="19" t="str">
        <x:v>Inte körd mot systemet</x:v>
      </x:c>
      <x:c r="J137" s="19" t="str"/>
    </x:row>
    <x:row r="138" ht="50.400001525878906" customHeight="1">
      <x:c r="A138" s="19" t="str">
        <x:v>AT-ESCO-09</x:v>
      </x:c>
      <x:c r="B138" s="19" t="str">
        <x:v>Regelkontrakt: ESCO-09</x:v>
      </x:c>
      <x:c r="C138" s="19" t="str">
        <x:v>Z15C</x:v>
      </x:c>
      <x:c r="D138" s="19" t="str">
        <x:v>Tidigare upphörande återtas – prova både uppfyllt villkor och relevant fel-/gränsfall.</x:v>
      </x:c>
      <x:c r="E138" s="19" t="str">
        <x:v>Kontrollera rätt ursprung och källstödda återställningsvillkor. → Återställ marknadsrelationen; ompröva varje downstream-grant självständigt.</x:v>
      </x:c>
      <x:c r="F138" s="19" t="str">
        <x:v>Återuppliva inte utgångna kundavtal eller uttryckligen återkallade tenantbehörigheter.</x:v>
      </x:c>
      <x:c r="G138" s="19" t="str">
        <x:v>ESCO-09</x:v>
      </x:c>
      <x:c r="H138" s="19" t="str">
        <x:v>Planerat regelbeteendeprov</x:v>
      </x:c>
      <x:c r="I138" s="19" t="str">
        <x:v>Inte körd mot systemet</x:v>
      </x:c>
      <x:c r="J138" s="19" t="str"/>
    </x:row>
    <x:row r="139" ht="64.19999694824219" customHeight="1">
      <x:c r="A139" s="19" t="str">
        <x:v>AT-ESCO-10</x:v>
      </x:c>
      <x:c r="B139" s="19" t="str">
        <x:v>Regelkontrakt: ESCO-10</x:v>
      </x:c>
      <x:c r="C139" s="19" t="str">
        <x:v>E66 i DGI-rollen</x:v>
      </x:c>
      <x:c r="D139" s="19" t="str">
        <x:v>Mätvärden tas emot – prova både uppfyllt villkor och relevant fel-/gränsfall.</x:v>
      </x:c>
      <x:c r="E139" s="19" t="str">
        <x:v>E66 kan sakna direkt tillstånds-id. Matcha juridisk relation, objekt, produkt, period och giltig tillstånds-/grantkoppling. → Lagra mottagningsbevis och distribuera endast till uttryckligen berättigade tenants.</x:v>
      </x:c>
      <x:c r="F139" s="19" t="str">
        <x:v>Kräv inte ett påhittat permission-fält i E66. Matcha inte enbart på GSRN eller SMTP-adress.</x:v>
      </x:c>
      <x:c r="G139" s="19" t="str">
        <x:v>ESCO-10</x:v>
      </x:c>
      <x:c r="H139" s="19" t="str">
        <x:v>Planerat regelbeteendeprov</x:v>
      </x:c>
      <x:c r="I139" s="19" t="str">
        <x:v>Inte körd mot systemet</x:v>
      </x:c>
      <x:c r="J139" s="19" t="str"/>
    </x:row>
    <x:row r="140" ht="50.400001525878906" customHeight="1">
      <x:c r="A140" s="19" t="str">
        <x:v>AT-ESCO-11</x:v>
      </x:c>
      <x:c r="B140" s="19" t="str">
        <x:v>Regelkontrakt: ESCO-11</x:v>
      </x:c>
      <x:c r="C140" s="19" t="str">
        <x:v>Intern vidareanvändning av E66-DGI</x:v>
      </x:c>
      <x:c r="D140" s="19" t="str">
        <x:v>Data används i annan tjänst – prova både uppfyllt villkor och relevant fel-/gränsfall.</x:v>
      </x:c>
      <x:c r="E140" s="19" t="str">
        <x:v>Tillåtet ändamål, rättslig/datamässig grund och processtillämplighet ska verifieras uttryckligen. → Bevara originalets DGI-roll, avsändare, kvalitet och syfte i varje härledd projektion.</x:v>
      </x:c>
      <x:c r="F140" s="19" t="str">
        <x:v>Skriv inte om DGI till DDQ och skapa inte en falsk E66 från nätägaren för att passa faktureringen.</x:v>
      </x:c>
      <x:c r="G140" s="19" t="str">
        <x:v>ESCO-11</x:v>
      </x:c>
      <x:c r="H140" s="19" t="str">
        <x:v>Planerat regelbeteendeprov</x:v>
      </x:c>
      <x:c r="I140" s="19" t="str">
        <x:v>Inte körd mot systemet</x:v>
      </x:c>
      <x:c r="J140" s="19" t="str"/>
    </x:row>
    <x:row r="141" ht="36.599998474121094" customHeight="1">
      <x:c r="A141" s="19" t="str">
        <x:v>AT-ACK-01</x:v>
      </x:c>
      <x:c r="B141" s="19" t="str">
        <x:v>Regelkontrakt: ACK-01</x:v>
      </x:c>
      <x:c r="C141" s="19" t="str">
        <x:v>Alla inkommande EDIFACT utom CONTRL</x:v>
      </x:c>
      <x:c r="D141" s="19" t="str">
        <x:v>Syntaxresultat finns – prova både uppfyllt villkor och relevant fel-/gränsfall.</x:v>
      </x:c>
      <x:c r="E141" s="19" t="str">
        <x:v>Använd CONTRL:2:2:UN och resultatkod 1/4 på rätt korrelationsnivå. → Larma vid negativt resultat och undvik kvittensloop.</x:v>
      </x:c>
      <x:c r="F141" s="19" t="str">
        <x:v>Lägg inte nationell APERAK-kontroll i CONTRL.</x:v>
      </x:c>
      <x:c r="G141" s="19" t="str">
        <x:v>ACK-01</x:v>
      </x:c>
      <x:c r="H141" s="19" t="str">
        <x:v>Planerat regelbeteendeprov</x:v>
      </x:c>
      <x:c r="I141" s="19" t="str">
        <x:v>Inte körd mot systemet</x:v>
      </x:c>
      <x:c r="J141" s="19" t="str"/>
    </x:row>
    <x:row r="142" ht="64.19999694824219" customHeight="1">
      <x:c r="A142" s="19" t="str">
        <x:v>AT-ACK-02</x:v>
      </x:c>
      <x:c r="B142" s="19" t="str">
        <x:v>Regelkontrakt: ACK-02</x:v>
      </x:c>
      <x:c r="C142" s="19" t="str">
        <x:v>APERAK på PRODAT</x:v>
      </x:c>
      <x:c r="D142" s="19" t="str">
        <x:v>Applikationsresultat finns – prova både uppfyllt villkor och relevant fel-/gränsfall.</x:v>
      </x:c>
      <x:c r="E142" s="19" t="str">
        <x:v>D96A/E2SE6A; BGM27 för avvisat helt meddelande eller 34 för behandlat; ERC40/41/42/100 och ACW till originalets BGM-id. → Bygg RFF+Z07/LI när uppgifterna finns och korrekt fält- eller särskild felreferens.</x:v>
      </x:c>
      <x:c r="F142" s="19" t="str">
        <x:v>Använd inte UTILTS-APERAK:s BGM312/313 eller dess transaktions-ACW för PRODAT.</x:v>
      </x:c>
      <x:c r="G142" s="19" t="str">
        <x:v>ACK-02</x:v>
      </x:c>
      <x:c r="H142" s="19" t="str">
        <x:v>Planerat regelbeteendeprov</x:v>
      </x:c>
      <x:c r="I142" s="19" t="str">
        <x:v>Inte körd mot systemet</x:v>
      </x:c>
      <x:c r="J142" s="19" t="str"/>
    </x:row>
    <x:row r="143" ht="64.19999694824219" customHeight="1">
      <x:c r="A143" s="19" t="str">
        <x:v>AT-ACK-03</x:v>
      </x:c>
      <x:c r="B143" s="19" t="str">
        <x:v>Regelkontrakt: ACK-03</x:v>
      </x:c>
      <x:c r="C143" s="19" t="str">
        <x:v>APERAK på UTILTS</x:v>
      </x:c>
      <x:c r="D143" s="19" t="str">
        <x:v>Anvisnings-/funktionsutfall finns – prova både uppfyllt villkor och relevant fel-/gränsfall.</x:v>
      </x:c>
      <x:c r="E143" s="19" t="str">
        <x:v>D04A/E5SE5A; BGM312 positivt eller313 negativt; DOC till originaltyp/BGM, DM för eget transaktions-id och ACW till originalets IDE-id. → Håll positiva och negativa transaktioner i skilda APERAK. Ange inte påhittad IDE-referens vid huvudfel.</x:v>
      </x:c>
      <x:c r="F143" s="19" t="str">
        <x:v>Använd inte PRODAT-BGM34 eller generiska ERC40-specialkoder utan stöd i UTILTS-guiden.</x:v>
      </x:c>
      <x:c r="G143" s="19" t="str">
        <x:v>ACK-03</x:v>
      </x:c>
      <x:c r="H143" s="19" t="str">
        <x:v>Planerat regelbeteendeprov</x:v>
      </x:c>
      <x:c r="I143" s="19" t="str">
        <x:v>Inte körd mot systemet</x:v>
      </x:c>
      <x:c r="J143" s="19" t="str"/>
    </x:row>
    <x:row r="144" ht="50.400001525878906" customHeight="1">
      <x:c r="A144" s="19" t="str">
        <x:v>AT-ACK-04</x:v>
      </x:c>
      <x:c r="B144" s="19" t="str">
        <x:v>Regelkontrakt: ACK-04</x:v>
      </x:c>
      <x:c r="C144" s="19" t="str">
        <x:v>UTILTS-APERAK ERC/FTX</x:v>
      </x:c>
      <x:c r="D144" s="19" t="str">
        <x:v>Svar byggs – prova både uppfyllt villkor och relevant fel-/gränsfall.</x:v>
      </x:c>
      <x:c r="E144" s="19" t="str">
        <x:v>ERC100 ger OK; 41 ger MANDATORY FIELD MISSING; 42 ger INCORRECT DATA XXX. Riktig fältreferens krävs vid41/42. → Bygg exakt referens och korrekt frisläppning; begränsa känsliga uppgifter i loggar.</x:v>
      </x:c>
      <x:c r="F144" s="19" t="str">
        <x:v>Härled inte ett fältnummer ur siffrorna i ett segmentnamn.</x:v>
      </x:c>
      <x:c r="G144" s="19" t="str">
        <x:v>ACK-04</x:v>
      </x:c>
      <x:c r="H144" s="19" t="str">
        <x:v>Planerat regelbeteendeprov</x:v>
      </x:c>
      <x:c r="I144" s="19" t="str">
        <x:v>Inte körd mot systemet</x:v>
      </x:c>
      <x:c r="J144" s="19" t="str"/>
    </x:row>
    <x:row r="145" ht="50.400001525878906" customHeight="1">
      <x:c r="A145" s="19" t="str">
        <x:v>AT-ACK-05</x:v>
      </x:c>
      <x:c r="B145" s="19" t="str">
        <x:v>Regelkontrakt: ACK-05</x:v>
      </x:c>
      <x:c r="C145" s="19" t="str">
        <x:v>UTILTS-ERR</x:v>
      </x:c>
      <x:c r="D145" s="19" t="str">
        <x:v>Godkänd anvisningskontroll men funktionsfel – prova både uppfyllt villkor och relevant fel-/gränsfall.</x:v>
      </x:c>
      <x:c r="E145" s="19" t="str">
        <x:v>Wirefamiljen är UTILTS med BGM ERR. Referera rätt originaltyp, BGM-id och transaktions-id samt avvisningsorsak. → Begär föreskriven APERAK och CONTRL på ERR; följ ERR:s egna fältvillkor.</x:v>
      </x:c>
      <x:c r="F145" s="19" t="str">
        <x:v>Skapa inte ERR på ERR eller APERAK på APERAK.</x:v>
      </x:c>
      <x:c r="G145" s="19" t="str">
        <x:v>ACK-05</x:v>
      </x:c>
      <x:c r="H145" s="19" t="str">
        <x:v>Planerat regelbeteendeprov</x:v>
      </x:c>
      <x:c r="I145" s="19" t="str">
        <x:v>Inte körd mot systemet</x:v>
      </x:c>
      <x:c r="J145" s="19" t="str"/>
    </x:row>
    <x:row r="146" ht="50.400001525878906" customHeight="1">
      <x:c r="A146" s="19" t="str">
        <x:v>AT-ACK-06</x:v>
      </x:c>
      <x:c r="B146" s="19" t="str">
        <x:v>Regelkontrakt: ACK-06</x:v>
      </x:c>
      <x:c r="C146" s="19" t="str">
        <x:v>Mottagna kvittenser</x:v>
      </x:c>
      <x:c r="D146" s="19" t="str">
        <x:v>CONTRL/APERAK tas emot – prova både uppfyllt villkor och relevant fel-/gränsfall.</x:v>
      </x:c>
      <x:c r="E146" s="19" t="str">
        <x:v>Bind föreskrivna referenser tillsammans med parter, marknad, roll, miljö och ursprungsfamilj. → Uppdatera endast rätt kvitterade delar och deras delstatus.</x:v>
      </x:c>
      <x:c r="F146" s="19" t="str">
        <x:v>UCI, ACW eller LI utan aktörsscope får inte kopplas till en annan tenant.</x:v>
      </x:c>
      <x:c r="G146" s="19" t="str">
        <x:v>ACK-06</x:v>
      </x:c>
      <x:c r="H146" s="19" t="str">
        <x:v>Planerat regelbeteendeprov</x:v>
      </x:c>
      <x:c r="I146" s="19" t="str">
        <x:v>Inte körd mot systemet</x:v>
      </x:c>
      <x:c r="J146" s="19" t="str"/>
    </x:row>
    <x:row r="147" ht="50.400001525878906" customHeight="1">
      <x:c r="A147" s="19" t="str">
        <x:v>AT-ACK-07</x:v>
      </x:c>
      <x:c r="B147" s="19" t="str">
        <x:v>Regelkontrakt: ACK-07</x:v>
      </x:c>
      <x:c r="C147" s="19" t="str">
        <x:v>Redan kvitterat objekt/transaktion</x:v>
      </x:c>
      <x:c r="D147" s="19" t="str">
        <x:v>Senare kontroll upptäcker annat fel – prova både uppfyllt villkor och relevant fel-/gränsfall.</x:v>
      </x:c>
      <x:c r="E147" s="19" t="str">
        <x:v>Ändra inte ett slutligt kvittensutfall genom att skicka motsatt APERAK på samma objekt/transaktion. → Skapa incident och föreskriven kontakt; använd rätt rättelseprocess för ett nytt meddelande.</x:v>
      </x:c>
      <x:c r="F147" s="19" t="str">
        <x:v>Gör inte rollback följt av motsatt APERAK bara på grund av ett internt återförsök.</x:v>
      </x:c>
      <x:c r="G147" s="19" t="str">
        <x:v>ACK-07</x:v>
      </x:c>
      <x:c r="H147" s="19" t="str">
        <x:v>Planerat regelbeteendeprov</x:v>
      </x:c>
      <x:c r="I147" s="19" t="str">
        <x:v>Inte körd mot systemet</x:v>
      </x:c>
      <x:c r="J147" s="19" t="str"/>
    </x:row>
    <x:row r="148" ht="50.400001525878906" customHeight="1">
      <x:c r="A148" s="19" t="str">
        <x:v>AT-ACK-08</x:v>
      </x:c>
      <x:c r="B148" s="19" t="str">
        <x:v>Regelkontrakt: ACK-08</x:v>
      </x:c>
      <x:c r="C148" s="19" t="str">
        <x:v>Flera objekt/transaktioner</x:v>
      </x:c>
      <x:c r="D148" s="19" t="str">
        <x:v>En del är fel – prova både uppfyllt villkor och relevant fel-/gränsfall.</x:v>
      </x:c>
      <x:c r="E148" s="19" t="str">
        <x:v>PRODAT och UTILTS har skilda svarsstrukturer; huvudfel och delutfall separeras. → Mutera och kvittera rätt omfattning. UTILTS positiva/negativa svar hålls åtskilda.</x:v>
      </x:c>
      <x:c r="F148" s="19" t="str">
        <x:v>Låt inte global hasFunctionalError välja en felklass för alla transaktioner.</x:v>
      </x:c>
      <x:c r="G148" s="19" t="str">
        <x:v>ACK-08</x:v>
      </x:c>
      <x:c r="H148" s="19" t="str">
        <x:v>Planerat regelbeteendeprov</x:v>
      </x:c>
      <x:c r="I148" s="19" t="str">
        <x:v>Inte körd mot systemet</x:v>
      </x:c>
      <x:c r="J148" s="19" t="str"/>
    </x:row>
    <x:row r="149" ht="50.400001525878906" customHeight="1">
      <x:c r="A149" s="19" t="str">
        <x:v>AT-ACK-09</x:v>
      </x:c>
      <x:c r="B149" s="19" t="str">
        <x:v>Regelkontrakt: ACK-09</x:v>
      </x:c>
      <x:c r="C149" s="19" t="str">
        <x:v>Återleverans och dubbletter</x:v>
      </x:c>
      <x:c r="D149" s="19" t="str">
        <x:v>Inkommande identitet finns redan – prova både uppfyllt villkor och relevant fel-/gränsfall.</x:v>
      </x:c>
      <x:c r="E149" s="19" t="str">
        <x:v>Skilj intern återkörning av sparad mottagning från en ny mottagen protokolldubblett. → Undvik dubbla affärseffekter och ge det protokollföreskrivna dubblettsvaret.</x:v>
      </x:c>
      <x:c r="F149" s="19" t="str">
        <x:v>Idempotens får inte innebära att kvittenspliktig mottagning bara slängs tyst.</x:v>
      </x:c>
      <x:c r="G149" s="19" t="str">
        <x:v>ACK-09</x:v>
      </x:c>
      <x:c r="H149" s="19" t="str">
        <x:v>Planerat regelbeteendeprov</x:v>
      </x:c>
      <x:c r="I149" s="19" t="str">
        <x:v>Inte körd mot systemet</x:v>
      </x:c>
      <x:c r="J149" s="19" t="str"/>
    </x:row>
    <x:row r="150" ht="50.400001525878906" customHeight="1">
      <x:c r="A150" s="19" t="str">
        <x:v>AT-U-01</x:v>
      </x:c>
      <x:c r="B150" s="19" t="str">
        <x:v>Regelkontrakt: U-01</x:v>
      </x:c>
      <x:c r="C150" s="19" t="str">
        <x:v>E66, S02, E31, S05 och requests</x:v>
      </x:c>
      <x:c r="D150" s="19" t="str">
        <x:v>Profil väljs – prova både uppfyllt villkor och relevant fel-/gränsfall.</x:v>
      </x:c>
      <x:c r="E150" s="19" t="str">
        <x:v>Objektvärden, prognoser, aggregat och requests är uttryckligen skilda. Kontrollera aktuell roll, inte alltid en Supplier-gate. → Tillåt stödd roll, funktion, riktning och produkt med rätt bevis.</x:v>
      </x:c>
      <x:c r="F150" s="19" t="str">
        <x:v>Parserstöd eller en exempel-E66 ger inte rätt att sända nätägarens E66 i produktion.</x:v>
      </x:c>
      <x:c r="G150" s="19" t="str">
        <x:v>U-01</x:v>
      </x:c>
      <x:c r="H150" s="19" t="str">
        <x:v>Planerat regelbeteendeprov</x:v>
      </x:c>
      <x:c r="I150" s="19" t="str">
        <x:v>Inte körd mot systemet</x:v>
      </x:c>
      <x:c r="J150" s="19" t="str"/>
    </x:row>
    <x:row r="151" ht="50.400001525878906" customHeight="1">
      <x:c r="A151" s="19" t="str">
        <x:v>AT-U-02</x:v>
      </x:c>
      <x:c r="B151" s="19" t="str">
        <x:v>Regelkontrakt: U-02</x:v>
      </x:c>
      <x:c r="C151" s="19" t="str">
        <x:v>Samtliga UTILTS</x:v>
      </x:c>
      <x:c r="D151" s="19" t="str">
        <x:v>Parsning – prova både uppfyllt villkor och relevant fel-/gränsfall.</x:v>
      </x:c>
      <x:c r="E151" s="19" t="str">
        <x:v>Bevara huvud, SG5/IDE-transaktion och SEQ-observation samt varje upprepad grupp. → En disposition per ursprungstransaktion; mätarställningar och energier separata.</x:v>
      </x:c>
      <x:c r="F151" s="19" t="str">
        <x:v>Använd inte första LOC eller QTY i hela filen för samtliga objekt.</x:v>
      </x:c>
      <x:c r="G151" s="19" t="str">
        <x:v>U-02</x:v>
      </x:c>
      <x:c r="H151" s="19" t="str">
        <x:v>Planerat regelbeteendeprov</x:v>
      </x:c>
      <x:c r="I151" s="19" t="str">
        <x:v>Inte körd mot systemet</x:v>
      </x:c>
      <x:c r="J151" s="19" t="str"/>
    </x:row>
    <x:row r="152" ht="64.19999694824219" customHeight="1">
      <x:c r="A152" s="19" t="str">
        <x:v>AT-U-03</x:v>
      </x:c>
      <x:c r="B152" s="19" t="str">
        <x:v>Regelkontrakt: U-03</x:v>
      </x:c>
      <x:c r="C152" s="19" t="str">
        <x:v>Samtliga UTILTS</x:v>
      </x:c>
      <x:c r="D152" s="19" t="str">
        <x:v>Validering – prova både uppfyllt villkor och relevant fel-/gränsfall.</x:v>
      </x:c>
      <x:c r="E152" s="19" t="str">
        <x:v>Syntax följs av huvudets anvisningskontroll, transaktionens anvisningskontroll och därefter funktionskontroll endast för godkänd transaktion. → Lagra godkända transaktioner och kvittera varje utfall på rätt nivå.</x:v>
      </x:c>
      <x:c r="F152" s="19" t="str">
        <x:v>Ett guidefel för samma IDE får inte ersättas av ett senare E10/E50-funktionsfel.</x:v>
      </x:c>
      <x:c r="G152" s="19" t="str">
        <x:v>U-03</x:v>
      </x:c>
      <x:c r="H152" s="19" t="str">
        <x:v>Planerat regelbeteendeprov</x:v>
      </x:c>
      <x:c r="I152" s="19" t="str">
        <x:v>Inte körd mot systemet</x:v>
      </x:c>
      <x:c r="J152" s="19" t="str"/>
    </x:row>
    <x:row r="153" ht="64.19999694824219" customHeight="1">
      <x:c r="A153" s="19" t="str">
        <x:v>AT-U-04</x:v>
      </x:c>
      <x:c r="B153" s="19" t="str">
        <x:v>Regelkontrakt: U-04</x:v>
      </x:c>
      <x:c r="C153" s="19" t="str">
        <x:v>Äldre men i övrigt giltiga mätdata</x:v>
      </x:c>
      <x:c r="D153" s="19" t="str">
        <x:v>Sen leverans – prova både uppfyllt villkor och relevant fel-/gränsfall.</x:v>
      </x:c>
      <x:c r="E153" s="19" t="str">
        <x:v>Ankomstordning ensam är inte avvisningsskäl. Använd registrerings-/uppdateringstid 512/532 för dataversionen. → Sänd positiv APERAK när andra kontroller passerar och bevara äldre historik utan att skriva över nyare data.</x:v>
      </x:c>
      <x:c r="F153" s="19" t="str">
        <x:v>Skapa inte ERR eller retroaktiv fakturaändring enbart för att data anländer sent.</x:v>
      </x:c>
      <x:c r="G153" s="19" t="str">
        <x:v>U-04</x:v>
      </x:c>
      <x:c r="H153" s="19" t="str">
        <x:v>Planerat regelbeteendeprov</x:v>
      </x:c>
      <x:c r="I153" s="19" t="str">
        <x:v>Inte körd mot systemet</x:v>
      </x:c>
      <x:c r="J153" s="19" t="str"/>
    </x:row>
    <x:row r="154" ht="50.400001525878906" customHeight="1">
      <x:c r="A154" s="19" t="str">
        <x:v>AT-U-05</x:v>
      </x:c>
      <x:c r="B154" s="19" t="str">
        <x:v>Regelkontrakt: U-05</x:v>
      </x:c>
      <x:c r="C154" s="19" t="str">
        <x:v>E66 i DGI-rollen</x:v>
      </x:c>
      <x:c r="D154" s="19" t="str">
        <x:v>Periodisk rapportering – prova både uppfyllt villkor och relevant fel-/gränsfall.</x:v>
      </x:c>
      <x:c r="E154" s="19" t="str">
        <x:v>Anledning ska vara E23, inte E88, om inte annat är uttryckligen överenskommet. → Kontrollera roll, Application Reference, underordnad roll och behörigheter.</x:v>
      </x:c>
      <x:c r="F154" s="19" t="str">
        <x:v>Påför inte en global E88-fakturaprofil på DGI-trafik.</x:v>
      </x:c>
      <x:c r="G154" s="19" t="str">
        <x:v>U-05</x:v>
      </x:c>
      <x:c r="H154" s="19" t="str">
        <x:v>Planerat regelbeteendeprov</x:v>
      </x:c>
      <x:c r="I154" s="19" t="str">
        <x:v>Inte körd mot systemet</x:v>
      </x:c>
      <x:c r="J154" s="19" t="str"/>
    </x:row>
    <x:row r="155" ht="64.19999694824219" customHeight="1">
      <x:c r="A155" s="19" t="str">
        <x:v>AT-U-06</x:v>
      </x:c>
      <x:c r="B155" s="19" t="str">
        <x:v>Regelkontrakt: U-06</x:v>
      </x:c>
      <x:c r="C155" s="19" t="str">
        <x:v>E73 och E74</x:v>
      </x:c>
      <x:c r="D155" s="19" t="str">
        <x:v>Saknade värden identifieras – prova både uppfyllt villkor och relevant fel-/gränsfall.</x:v>
      </x:c>
      <x:c r="E155" s="19" t="str">
        <x:v>Application Reference avser begärd S02/E66 respektive S03/E31. Objekt/områden, parter, produkt och period ska motsvara begäran. → Skicka bara behörig request med tillämplig överenskommelse och bevaka resultatet.</x:v>
      </x:c>
      <x:c r="F155" s="19" t="str">
        <x:v>Bygg inte en generell 23-DGI-E73-referens och begär inte all data utan mandat.</x:v>
      </x:c>
      <x:c r="G155" s="19" t="str">
        <x:v>U-06</x:v>
      </x:c>
      <x:c r="H155" s="19" t="str">
        <x:v>Planerat regelbeteendeprov</x:v>
      </x:c>
      <x:c r="I155" s="19" t="str">
        <x:v>Inte körd mot systemet</x:v>
      </x:c>
      <x:c r="J155" s="19" t="str"/>
    </x:row>
    <x:row r="156" ht="50.400001525878906" customHeight="1">
      <x:c r="A156" s="19" t="str">
        <x:v>AT-U-07</x:v>
      </x:c>
      <x:c r="B156" s="19" t="str">
        <x:v>Regelkontrakt: U-07</x:v>
      </x:c>
      <x:c r="C156" s="19" t="str">
        <x:v>S06, S08, E30, S01 och S04</x:v>
      </x:c>
      <x:c r="D156" s="19" t="str">
        <x:v>Kapabilitet prövas – prova både uppfyllt villkor och relevant fel-/gränsfall.</x:v>
      </x:c>
      <x:c r="E156" s="19" t="str">
        <x:v>S06 är inte i bruk, S08 är avvecklat och andra profiler kräver andra roller än standard-DDQ/DGI. → Håll historiska/diagnostiska adaptrar åtskilda från produktionsfunktioner.</x:v>
      </x:c>
      <x:c r="F156" s="19" t="str">
        <x:v>Giltig syntax innebär inte tillåten marknadsriktning.</x:v>
      </x:c>
      <x:c r="G156" s="19" t="str">
        <x:v>U-07</x:v>
      </x:c>
      <x:c r="H156" s="19" t="str">
        <x:v>Planerat regelbeteendeprov</x:v>
      </x:c>
      <x:c r="I156" s="19" t="str">
        <x:v>Inte körd mot systemet</x:v>
      </x:c>
      <x:c r="J156" s="19" t="str"/>
    </x:row>
    <x:row r="157" ht="64.19999694824219" customHeight="1">
      <x:c r="A157" s="19" t="str">
        <x:v>AT-U-08</x:v>
      </x:c>
      <x:c r="B157" s="19" t="str">
        <x:v>Regelkontrakt: U-08</x:v>
      </x:c>
      <x:c r="C157" s="19" t="str">
        <x:v>E66 med mätare/register</x:v>
      </x:c>
      <x:c r="D157" s="19" t="str">
        <x:v>Funktionskontroll – prova både uppfyllt villkor och relevant fel-/gränsfall.</x:v>
      </x:c>
      <x:c r="E157" s="19" t="str">
        <x:v>Kontrollera mot faktiskt erhållen strukturinformation för perioden. ESCO-Z14 innehåller inte nödvändigtvis hela mätarstrukturen. → Hantera eget strukturbevisgap internt när kontrollen är villkorad enligt guiden.</x:v>
      </x:c>
      <x:c r="F157" s="19" t="str">
        <x:v>Kräv inte hela leverantörens PRODAT-struktur av varje ESCO-mottagare.</x:v>
      </x:c>
      <x:c r="G157" s="19" t="str">
        <x:v>U-08</x:v>
      </x:c>
      <x:c r="H157" s="19" t="str">
        <x:v>Planerat regelbeteendeprov</x:v>
      </x:c>
      <x:c r="I157" s="19" t="str">
        <x:v>Inte körd mot systemet</x:v>
      </x:c>
      <x:c r="J157" s="19" t="str"/>
    </x:row>
    <x:row r="158" ht="50.400001525878906" customHeight="1">
      <x:c r="A158" s="19" t="str">
        <x:v>AT-U-09</x:v>
      </x:c>
      <x:c r="B158" s="19" t="str">
        <x:v>Regelkontrakt: U-09</x:v>
      </x:c>
      <x:c r="C158" s="19" t="str">
        <x:v>Mätvärdesobservationer</x:v>
      </x:c>
      <x:c r="D158" s="19" t="str">
        <x:v>Lagring och fakturaunderlag – prova både uppfyllt villkor och relevant fel-/gränsfall.</x:v>
      </x:c>
      <x:c r="E158" s="19" t="str">
        <x:v>NULL/saknat, noll, tecken, ställning, energi, effekt, kvalitet och upplösning är olika typer. → Lagra decimaler och källkvalitet exakt med korrektionsspår.</x:v>
      </x:c>
      <x:c r="F158" s="19" t="str">
        <x:v>Fyll inte saknade värden med noll och använd inte årsprognos som faktisk kvartsenergi.</x:v>
      </x:c>
      <x:c r="G158" s="19" t="str">
        <x:v>U-09</x:v>
      </x:c>
      <x:c r="H158" s="19" t="str">
        <x:v>Planerat regelbeteendeprov</x:v>
      </x:c>
      <x:c r="I158" s="19" t="str">
        <x:v>Inte körd mot systemet</x:v>
      </x:c>
      <x:c r="J158" s="19" t="str"/>
    </x:row>
    <x:row r="159" ht="50.400001525878906" customHeight="1">
      <x:c r="A159" s="19" t="str">
        <x:v>AT-U-10</x:v>
      </x:c>
      <x:c r="B159" s="19" t="str">
        <x:v>Regelkontrakt: U-10</x:v>
      </x:c>
      <x:c r="C159" s="19" t="str">
        <x:v>Period 245 och upplösning508</x:v>
      </x:c>
      <x:c r="D159" s="19" t="str">
        <x:v>Periodvalidering – prova både uppfyllt villkor och relevant fel-/gränsfall.</x:v>
      </x:c>
      <x:c r="E159" s="19" t="str">
        <x:v>Beräkna intervall från faktisk period, produkt och fast tidszon. En kalendermånad är inte alltid30 dygn. → Ett fullständigt24h-dygn i+CET har96 kvartar; andra perioder räknas uttryckligt.</x:v>
      </x:c>
      <x:c r="F159" s="19" t="str">
        <x:v>Hårdkoda inte96 för varje serie och använd inte energisumma som bevis på fullständighet.</x:v>
      </x:c>
      <x:c r="G159" s="19" t="str">
        <x:v>U-10</x:v>
      </x:c>
      <x:c r="H159" s="19" t="str">
        <x:v>Planerat regelbeteendeprov</x:v>
      </x:c>
      <x:c r="I159" s="19" t="str">
        <x:v>Inte körd mot systemet</x:v>
      </x:c>
      <x:c r="J159" s="19" t="str"/>
    </x:row>
    <x:row r="160" ht="64.19999694824219" customHeight="1">
      <x:c r="A160" s="19" t="str">
        <x:v>AT-U-11</x:v>
      </x:c>
      <x:c r="B160" s="19" t="str">
        <x:v>Regelkontrakt: U-11</x:v>
      </x:c>
      <x:c r="C160" s="19" t="str">
        <x:v>UTILTS25-A-4</x:v>
      </x:c>
      <x:c r="D160" s="19" t="str">
        <x:v>Datumstyrd aktivering – prova både uppfyllt villkor och relevant fel-/gränsfall.</x:v>
      </x:c>
      <x:c r="E160" s="19" t="str">
        <x:v>E19 och ställnings-/energijämförelsen utgår. Energivärdeskontroller E97/E98/E90 avgränsas enligt guiden till E30/aggregat. → Behåll obligatoriska fält, E87 och övriga tillämpliga kontroller oberoende av ändringen.</x:v>
      </x:c>
      <x:c r="F160" s="19" t="str">
        <x:v>En ofullständig kvartserie blir inte korrekt bara för att E19 försvinner.</x:v>
      </x:c>
      <x:c r="G160" s="19" t="str">
        <x:v>U-11</x:v>
      </x:c>
      <x:c r="H160" s="19" t="str">
        <x:v>Planerat regelbeteendeprov</x:v>
      </x:c>
      <x:c r="I160" s="19" t="str">
        <x:v>Inte körd mot systemet</x:v>
      </x:c>
      <x:c r="J160" s="19" t="str"/>
    </x:row>
    <x:row r="161" ht="50.400001525878906" customHeight="1">
      <x:c r="A161" s="19" t="str">
        <x:v>AT-U-12</x:v>
      </x:c>
      <x:c r="B161" s="19" t="str">
        <x:v>Regelkontrakt: U-12</x:v>
      </x:c>
      <x:c r="C161" s="19" t="str">
        <x:v>UTILTS-batch</x:v>
      </x:c>
      <x:c r="D161" s="19" t="str">
        <x:v>Paketering – prova både uppfyllt villkor och relevant fel-/gränsfall.</x:v>
      </x:c>
      <x:c r="E161" s="19" t="str">
        <x:v>Anledning till transaktionen är samma i meddelandet. Mätarbyte och olika skeden kan kräva separata underlag. → Dela endast kompatibla grupper och bevara referenser och periodtäckning.</x:v>
      </x:c>
      <x:c r="F161" s="19" t="str">
        <x:v>Blanda inte E23/E88 bara för att anläggningen är densamma.</x:v>
      </x:c>
      <x:c r="G161" s="19" t="str">
        <x:v>U-12</x:v>
      </x:c>
      <x:c r="H161" s="19" t="str">
        <x:v>Planerat regelbeteendeprov</x:v>
      </x:c>
      <x:c r="I161" s="19" t="str">
        <x:v>Inte körd mot systemet</x:v>
      </x:c>
      <x:c r="J161" s="19" t="str"/>
    </x:row>
    <x:row r="162" ht="50.400001525878906" customHeight="1">
      <x:c r="A162" s="19" t="str">
        <x:v>AT-U-13</x:v>
      </x:c>
      <x:c r="B162" s="19" t="str">
        <x:v>Regelkontrakt: U-13</x:v>
      </x:c>
      <x:c r="C162" s="19" t="str">
        <x:v>UTILTS-BGM</x:v>
      </x:c>
      <x:c r="D162" s="19" t="str">
        <x:v>Huvud byggs eller läses – prova både uppfyllt villkor och relevant fel-/gränsfall.</x:v>
      </x:c>
      <x:c r="E162" s="19" t="str">
        <x:v>Skicka funktionskod9; ta emot5 utan avvisning enbart därför. Skicka AB; NA ensam är inte avvisningsgrund. → Håll mottagningstolerans skild från utgående profil.</x:v>
      </x:c>
      <x:c r="F162" s="19" t="str">
        <x:v>Inför inte egna fel för värden guiden kräver att mottagaren kan hantera.</x:v>
      </x:c>
      <x:c r="G162" s="19" t="str">
        <x:v>U-13</x:v>
      </x:c>
      <x:c r="H162" s="19" t="str">
        <x:v>Planerat regelbeteendeprov</x:v>
      </x:c>
      <x:c r="I162" s="19" t="str">
        <x:v>Inte körd mot systemet</x:v>
      </x:c>
      <x:c r="J162" s="19" t="str"/>
    </x:row>
    <x:row r="163" ht="50.400001525878906" customHeight="1">
      <x:c r="A163" s="19" t="str">
        <x:v>AT-U-14</x:v>
      </x:c>
      <x:c r="B163" s="19" t="str">
        <x:v>Regelkontrakt: U-14</x:v>
      </x:c>
      <x:c r="C163" s="19" t="str">
        <x:v>Positiv APERAK på UTILTS</x:v>
      </x:c>
      <x:c r="D163" s="19" t="str">
        <x:v>Svar planeras – prova både uppfyllt villkor och relevant fel-/gränsfall.</x:v>
      </x:c>
      <x:c r="E163" s="19" t="str">
        <x:v>Godkänd affärsbehandling och beständig lagring ska vara klara före extern positiv APERAK. → Gör atomär lagring av accepterad data, disposition och ACK-avsikt.</x:v>
      </x:c>
      <x:c r="F163" s="19" t="str">
        <x:v>Kölagt eller bara mottaget är inte bevis på lagrade mätvärden.</x:v>
      </x:c>
      <x:c r="G163" s="19" t="str">
        <x:v>U-14</x:v>
      </x:c>
      <x:c r="H163" s="19" t="str">
        <x:v>Planerat regelbeteendeprov</x:v>
      </x:c>
      <x:c r="I163" s="19" t="str">
        <x:v>Inte körd mot systemet</x:v>
      </x:c>
      <x:c r="J163" s="19" t="str"/>
    </x:row>
    <x:row r="164" ht="50.400001525878906" customHeight="1">
      <x:c r="A164" s="19" t="str">
        <x:v>AT-TR-01</x:v>
      </x:c>
      <x:c r="B164" s="19" t="str">
        <x:v>Regelkontrakt: TR-01</x:v>
      </x:c>
      <x:c r="C164" s="19" t="str">
        <x:v>Edieltrafik respektive applikationsmejl</x:v>
      </x:c>
      <x:c r="D164" s="19" t="str">
        <x:v>Sändning – prova både uppfyllt villkor och relevant fel-/gränsfall.</x:v>
      </x:c>
      <x:c r="E164" s="19" t="str">
        <x:v>PRODAT använder SMTP/MIME/S-MIME enligt register och säkerhetsprofil. Resend-kundmejl är en separat kanal utan tyst fallback. → Använd konfigurerad Edieltransport och rätt motpart.</x:v>
      </x:c>
      <x:c r="F164" s="19" t="str">
        <x:v>Skicka inte bytesfiler till Edielportalens testmottagare i produktion.</x:v>
      </x:c>
      <x:c r="G164" s="19" t="str">
        <x:v>TR-01</x:v>
      </x:c>
      <x:c r="H164" s="19" t="str">
        <x:v>Planerat regelbeteendeprov</x:v>
      </x:c>
      <x:c r="I164" s="19" t="str">
        <x:v>Inte körd mot systemet</x:v>
      </x:c>
      <x:c r="J164" s="19" t="str"/>
    </x:row>
    <x:row r="165" ht="50.400001525878906" customHeight="1">
      <x:c r="A165" s="19" t="str">
        <x:v>AT-TR-02</x:v>
      </x:c>
      <x:c r="B165" s="19" t="str">
        <x:v>Regelkontrakt: TR-02</x:v>
      </x:c>
      <x:c r="C165" s="19" t="str">
        <x:v>SMTP-försök</x:v>
      </x:c>
      <x:c r="D165" s="19" t="str">
        <x:v>250/4xx/5xx/timeout – prova både uppfyllt villkor och relevant fel-/gränsfall.</x:v>
      </x:c>
      <x:c r="E165" s="19" t="str">
        <x:v>SMTP-acceptans, slutlig transportleverans, CONTRL, APERAK och affärssvar är separata observationer. → Spara kö-id, SMTP-status, RFC Message-ID, payloadhash och exakt försök.</x:v>
      </x:c>
      <x:c r="F165" s="19" t="str">
        <x:v>Låt inte sent betyda leveransaktiv. Okänt sändningsutfall ska förbli uttryckligen okänt.</x:v>
      </x:c>
      <x:c r="G165" s="19" t="str">
        <x:v>TR-02</x:v>
      </x:c>
      <x:c r="H165" s="19" t="str">
        <x:v>Planerat regelbeteendeprov</x:v>
      </x:c>
      <x:c r="I165" s="19" t="str">
        <x:v>Inte körd mot systemet</x:v>
      </x:c>
      <x:c r="J165" s="19" t="str"/>
    </x:row>
    <x:row r="166" ht="50.400001525878906" customHeight="1">
      <x:c r="A166" s="19" t="str">
        <x:v>AT-TR-03</x:v>
      </x:c>
      <x:c r="B166" s="19" t="str">
        <x:v>Regelkontrakt: TR-03</x:v>
      </x:c>
      <x:c r="C166" s="19" t="str">
        <x:v>MIME-arkiv</x:v>
      </x:c>
      <x:c r="D166" s="19" t="str">
        <x:v>Före första sändning – prova både uppfyllt villkor och relevant fel-/gränsfall.</x:v>
      </x:c>
      <x:c r="E166" s="19" t="str">
        <x:v>En stabil RFC Message-ID ska finnas i innehållet. Bevara exakta rå-EML-byte i skyddat arkiv. → Lagra provider-id separat och sammanhåll identiteterna.</x:v>
      </x:c>
      <x:c r="F166" s="19" t="str">
        <x:v>Spara inte enbart förhandsvisning eller en pseudoreferens utan hämtningsbart innehåll.</x:v>
      </x:c>
      <x:c r="G166" s="19" t="str">
        <x:v>TR-03</x:v>
      </x:c>
      <x:c r="H166" s="19" t="str">
        <x:v>Planerat regelbeteendeprov</x:v>
      </x:c>
      <x:c r="I166" s="19" t="str">
        <x:v>Inte körd mot systemet</x:v>
      </x:c>
      <x:c r="J166" s="19" t="str"/>
    </x:row>
    <x:row r="167" ht="50.400001525878906" customHeight="1">
      <x:c r="A167" s="19" t="str">
        <x:v>AT-TR-04</x:v>
      </x:c>
      <x:c r="B167" s="19" t="str">
        <x:v>Regelkontrakt: TR-04</x:v>
      </x:c>
      <x:c r="C167" s="19" t="str">
        <x:v>SMTP-returbrev</x:v>
      </x:c>
      <x:c r="D167" s="19" t="str">
        <x:v>Inkommande e-post – prova både uppfyllt villkor och relevant fel-/gränsfall.</x:v>
      </x:c>
      <x:c r="E167" s="19" t="str">
        <x:v>Klassificera multipart/report och delivery-status före EDIFACT-utdrag. → Knyt Final-Recipient, Action, Status, Diagnostic-Code och originalidentiteter till rätt försök.</x:v>
      </x:c>
      <x:c r="F167" s="19" t="str">
        <x:v>En inbäddad originalfil får inte skapa ett nytt inkommande affärsärende.</x:v>
      </x:c>
      <x:c r="G167" s="19" t="str">
        <x:v>TR-04</x:v>
      </x:c>
      <x:c r="H167" s="19" t="str">
        <x:v>Planerat regelbeteendeprov</x:v>
      </x:c>
      <x:c r="I167" s="19" t="str">
        <x:v>Inte körd mot systemet</x:v>
      </x:c>
      <x:c r="J167" s="19" t="str"/>
    </x:row>
    <x:row r="168" ht="64.19999694824219" customHeight="1">
      <x:c r="A168" s="19" t="str">
        <x:v>AT-TR-05</x:v>
      </x:c>
      <x:c r="B168" s="19" t="str">
        <x:v>Regelkontrakt: TR-05</x:v>
      </x:c>
      <x:c r="C168" s="19" t="str">
        <x:v>PRODAT-omsändning/rättelse</x:v>
      </x:c>
      <x:c r="D168" s="19" t="str">
        <x:v>Fel eller timeout – prova både uppfyllt villkor och relevant fel-/gränsfall.</x:v>
      </x:c>
      <x:c r="E168" s="19" t="str">
        <x:v>Omsändning tillåts vid verifierad överföringsförlust. Negativ CONTRL medför rättelse av hela meddelandet; negativ APERAK följer särskild rättelse med nytt BGM-id. → Bevara lineage och pröva aktuell anvisning på nytt.</x:v>
      </x:c>
      <x:c r="F168" s="19" t="str">
        <x:v>En utgången timer ensam är inget tillstånd till automatisk ny sändning.</x:v>
      </x:c>
      <x:c r="G168" s="19" t="str">
        <x:v>TR-05</x:v>
      </x:c>
      <x:c r="H168" s="19" t="str">
        <x:v>Planerat regelbeteendeprov</x:v>
      </x:c>
      <x:c r="I168" s="19" t="str">
        <x:v>Inte körd mot systemet</x:v>
      </x:c>
      <x:c r="J168" s="19" t="str"/>
    </x:row>
    <x:row r="169" ht="50.400001525878906" customHeight="1">
      <x:c r="A169" s="19" t="str">
        <x:v>AT-TR-06</x:v>
      </x:c>
      <x:c r="B169" s="19" t="str">
        <x:v>Regelkontrakt: TR-06</x:v>
      </x:c>
      <x:c r="C169" s="19" t="str">
        <x:v>Mottagarcertifikat</x:v>
      </x:c>
      <x:c r="D169" s="19" t="str">
        <x:v>Före sändning – prova både uppfyllt villkor och relevant fel-/gränsfall.</x:v>
      </x:c>
      <x:c r="E169" s="19" t="str">
        <x:v>Kontrollera exakta giltighetsgränser, status, ändamål och ägarscope mot verklig teknisk/juridisk rutt. → Verifiera kedja och spärrpolicy med samma guard för direkt id-val och kandidatsökning.</x:v>
      </x:c>
      <x:c r="F169" s="19" t="str">
        <x:v>Utgånget, spärrat eller ännu inte giltigt certifikat får inte passera genom dagsavrundning.</x:v>
      </x:c>
      <x:c r="G169" s="19" t="str">
        <x:v>TR-06</x:v>
      </x:c>
      <x:c r="H169" s="19" t="str">
        <x:v>Planerat regelbeteendeprov</x:v>
      </x:c>
      <x:c r="I169" s="19" t="str">
        <x:v>Inte körd mot systemet</x:v>
      </x:c>
      <x:c r="J169" s="19" t="str"/>
    </x:row>
    <x:row r="170" ht="36.599998474121094" customHeight="1">
      <x:c r="A170" s="19" t="str">
        <x:v>AT-TR-07</x:v>
      </x:c>
      <x:c r="B170" s="19" t="str">
        <x:v>Regelkontrakt: TR-07</x:v>
      </x:c>
      <x:c r="C170" s="19" t="str">
        <x:v>Överlappande certifikat</x:v>
      </x:c>
      <x:c r="D170" s="19" t="str">
        <x:v>S/MIME byggs – prova både uppfyllt villkor och relevant fel-/gränsfall.</x:v>
      </x:c>
      <x:c r="E170" s="19" t="str">
        <x:v>Följ anvisningens fler-certifikatfall inom korrekt mottagarscope. → Kryptera för de giltiga mottagarcertifikat som regeln kräver.</x:v>
      </x:c>
      <x:c r="F170" s="19" t="str">
        <x:v>Välj inte slumpmässigt bara det senast registrerade certifikatet.</x:v>
      </x:c>
      <x:c r="G170" s="19" t="str">
        <x:v>TR-07</x:v>
      </x:c>
      <x:c r="H170" s="19" t="str">
        <x:v>Planerat regelbeteendeprov</x:v>
      </x:c>
      <x:c r="I170" s="19" t="str">
        <x:v>Inte körd mot systemet</x:v>
      </x:c>
      <x:c r="J170" s="19" t="str"/>
    </x:row>
    <x:row r="171" ht="50.400001525878906" customHeight="1">
      <x:c r="A171" s="19" t="str">
        <x:v>AT-TR-08</x:v>
      </x:c>
      <x:c r="B171" s="19" t="str">
        <x:v>Regelkontrakt: TR-08</x:v>
      </x:c>
      <x:c r="C171" s="19" t="str">
        <x:v>SMTP-reläer</x:v>
      </x:c>
      <x:c r="D171" s="19" t="str">
        <x:v>Kommunikation – prova både uppfyllt villkor och relevant fel-/gränsfall.</x:v>
      </x:c>
      <x:c r="E171" s="19" t="str">
        <x:v>Verifiera relä-TLS och SPF. TLS till första servern bevisar inte nästa serverhopp. → Kontrollera providerpolicy och verkligt leveransspår.</x:v>
      </x:c>
      <x:c r="F171" s="19" t="str">
        <x:v>Deklarera inte hela transporten verifierad bara för att port465 kan nås.</x:v>
      </x:c>
      <x:c r="G171" s="19" t="str">
        <x:v>TR-08</x:v>
      </x:c>
      <x:c r="H171" s="19" t="str">
        <x:v>Planerat regelbeteendeprov</x:v>
      </x:c>
      <x:c r="I171" s="19" t="str">
        <x:v>Inte körd mot systemet</x:v>
      </x:c>
      <x:c r="J171" s="19" t="str"/>
    </x:row>
    <x:row r="172" ht="50.400001525878906" customHeight="1">
      <x:c r="A172" s="19" t="str">
        <x:v>AT-TR-09</x:v>
      </x:c>
      <x:c r="B172" s="19" t="str">
        <x:v>Regelkontrakt: TR-09</x:v>
      </x:c>
      <x:c r="C172" s="19" t="str">
        <x:v>Tillfälligt krypterings-/CRLproblem</x:v>
      </x:c>
      <x:c r="D172" s="19" t="str">
        <x:v>Reservförfarande prövas – prova både uppfyllt villkor och relevant fel-/gränsfall.</x:v>
      </x:c>
      <x:c r="E172" s="19" t="str">
        <x:v>Endast uttryckligen specificerade undantagsfall i T får användas med respektive villkor/larm och fortsatt obligatorisk TLS. → Skapa separat avvikelsejournal och avgränsad driftåtgärd.</x:v>
      </x:c>
      <x:c r="F172" s="19" t="str">
        <x:v>Ingen generell switch för oskyddad trafik och inga påhittade undantag.</x:v>
      </x:c>
      <x:c r="G172" s="19" t="str">
        <x:v>TR-09</x:v>
      </x:c>
      <x:c r="H172" s="19" t="str">
        <x:v>Planerat regelbeteendeprov</x:v>
      </x:c>
      <x:c r="I172" s="19" t="str">
        <x:v>Inte körd mot systemet</x:v>
      </x:c>
      <x:c r="J172" s="19" t="str"/>
    </x:row>
    <x:row r="173" ht="50.400001525878906" customHeight="1">
      <x:c r="A173" s="19" t="str">
        <x:v>AT-TR-10</x:v>
      </x:c>
      <x:c r="B173" s="19" t="str">
        <x:v>Regelkontrakt: TR-10</x:v>
      </x:c>
      <x:c r="C173" s="19" t="str">
        <x:v>Köjobb och krasch</x:v>
      </x:c>
      <x:c r="D173" s="19" t="str">
        <x:v>Jobbstart, timeout eller leasebyte – prova både uppfyllt villkor och relevant fel-/gränsfall.</x:v>
      </x:c>
      <x:c r="E173" s="19" t="str">
        <x:v>SMTP och DB är inte atomiska. Använd lease/fencing och särskilt unknown_after_submission. → Försök igen endast när det säkert inte skickats eller föreskrivet beslut finns; spåra okända utfall.</x:v>
      </x:c>
      <x:c r="F173" s="19" t="str">
        <x:v>Lova inte exakt-en-gång över SMTP och gör inte rekursiva blind-retries.</x:v>
      </x:c>
      <x:c r="G173" s="19" t="str">
        <x:v>TR-10</x:v>
      </x:c>
      <x:c r="H173" s="19" t="str">
        <x:v>Planerat regelbeteendeprov</x:v>
      </x:c>
      <x:c r="I173" s="19" t="str">
        <x:v>Inte körd mot systemet</x:v>
      </x:c>
      <x:c r="J173" s="19" t="str"/>
    </x:row>
    <x:row r="174" ht="36.599998474121094" customHeight="1">
      <x:c r="A174" s="19" t="str">
        <x:v>AT-TR-11</x:v>
      </x:c>
      <x:c r="B174" s="19" t="str">
        <x:v>Regelkontrakt: TR-11</x:v>
      </x:c>
      <x:c r="C174" s="19" t="str">
        <x:v>Skickat-mappen</x:v>
      </x:c>
      <x:c r="D174" s="19" t="str">
        <x:v>Administrativ inspektion – prova både uppfyllt villkor och relevant fel-/gränsfall.</x:v>
      </x:c>
      <x:c r="E174" s="19" t="str">
        <x:v>En Skickat-kopia är en separat IMAP-/arkivfunktion. → Använd transportjournalen som beviskälla; erbjud kopia som driftfunktion.</x:v>
      </x:c>
      <x:c r="F174" s="19" t="str">
        <x:v>En tom mapp ska inte utlösa omsändning eller betraktas som bevis på förlust.</x:v>
      </x:c>
      <x:c r="G174" s="19" t="str">
        <x:v>TR-11</x:v>
      </x:c>
      <x:c r="H174" s="19" t="str">
        <x:v>Planerat regelbeteendeprov</x:v>
      </x:c>
      <x:c r="I174" s="19" t="str">
        <x:v>Inte körd mot systemet</x:v>
      </x:c>
      <x:c r="J174" s="19" t="str"/>
    </x:row>
    <x:row r="175" ht="50.400001525878906" customHeight="1">
      <x:c r="A175" s="19" t="str">
        <x:v>AT-AI-01</x:v>
      </x:c>
      <x:c r="B175" s="19" t="str">
        <x:v>Regelkontrakt: AI-01</x:v>
      </x:c>
      <x:c r="C175" s="19" t="str">
        <x:v>AI-lista</x:v>
      </x:c>
      <x:c r="D175" s="19" t="str">
        <x:v>Fil skapas eller läses – prova både uppfyllt villkor och relevant fel-/gränsfall.</x:v>
      </x:c>
      <x:c r="E175" s="19" t="str">
        <x:v>Använd separat semikolonformat Ver20140401, CSV från 2025-10-01 och huvud med nätföretag först/elhandelsföretag sedan. → Identifiera format och behörig avstämningsomfattning före bearbetning.</x:v>
      </x:c>
      <x:c r="F175" s="19" t="str">
        <x:v>Skapa inte EDIFACT-kvittenser på en AI-fil.</x:v>
      </x:c>
      <x:c r="G175" s="19" t="str">
        <x:v>AI-01</x:v>
      </x:c>
      <x:c r="H175" s="19" t="str">
        <x:v>Planerat regelbeteendeprov</x:v>
      </x:c>
      <x:c r="I175" s="19" t="str">
        <x:v>Inte körd mot systemet</x:v>
      </x:c>
      <x:c r="J175" s="19" t="str"/>
    </x:row>
    <x:row r="176" ht="50.400001525878906" customHeight="1">
      <x:c r="A176" s="19" t="str">
        <x:v>AT-AI-02</x:v>
      </x:c>
      <x:c r="B176" s="19" t="str">
        <x:v>Regelkontrakt: AI-02</x:v>
      </x:c>
      <x:c r="C176" s="19" t="str">
        <x:v>Utgående AI från elhandelsföretag</x:v>
      </x:c>
      <x:c r="D176" s="19" t="str">
        <x:v>Detaljrader byggs – prova både uppfyllt villkor och relevant fel-/gränsfall.</x:v>
      </x:c>
      <x:c r="E176" s="19" t="str">
        <x:v>Lämna mätarnummer, avräkningsmetod, årsenergi, rapporteringsfrekvens, mätmetod och produktkod tomma. → Fyll övriga tillämpliga verifierade marknads-/kunduppgifter och avslutande semikolon.</x:v>
      </x:c>
      <x:c r="F176" s="19" t="str">
        <x:v>Interna UUID eller site_name får inte ersätta kund-id eller kundnamn.</x:v>
      </x:c>
      <x:c r="G176" s="19" t="str">
        <x:v>AI-02</x:v>
      </x:c>
      <x:c r="H176" s="19" t="str">
        <x:v>Planerat regelbeteendeprov</x:v>
      </x:c>
      <x:c r="I176" s="19" t="str">
        <x:v>Inte körd mot systemet</x:v>
      </x:c>
      <x:c r="J176" s="19" t="str"/>
    </x:row>
    <x:row r="177" ht="64.19999694824219" customHeight="1">
      <x:c r="A177" s="19" t="str">
        <x:v>AT-AI-03</x:v>
      </x:c>
      <x:c r="B177" s="19" t="str">
        <x:v>Regelkontrakt: AI-03</x:v>
      </x:c>
      <x:c r="C177" s="19" t="str">
        <x:v>AI-listans periodurval</x:v>
      </x:c>
      <x:c r="D177" s="19" t="str">
        <x:v>Historik projiceras – prova både uppfyllt villkor och relevant fel-/gränsfall.</x:v>
      </x:c>
      <x:c r="E177" s="19" t="str">
        <x:v>Ta med alla relevanta anläggningar under [från,till). Delperioder och strukturändringar ger flera detaljrader. → Sortera objektrader i tid med tomt från först och tomt till sist. Skilj sökperiod från detaljens giltighet.</x:v>
      </x:c>
      <x:c r="F177" s="19" t="str">
        <x:v>Endast dagens aktiva objekt eller ett enda värde per kund är inte tillräckligt.</x:v>
      </x:c>
      <x:c r="G177" s="19" t="str">
        <x:v>AI-03</x:v>
      </x:c>
      <x:c r="H177" s="19" t="str">
        <x:v>Planerat regelbeteendeprov</x:v>
      </x:c>
      <x:c r="I177" s="19" t="str">
        <x:v>Inte körd mot systemet</x:v>
      </x:c>
      <x:c r="J177" s="19" t="str"/>
    </x:row>
    <x:row r="178" ht="50.400001525878906" customHeight="1">
      <x:c r="A178" s="19" t="str">
        <x:v>AT-AI-04</x:v>
      </x:c>
      <x:c r="B178" s="19" t="str">
        <x:v>Regelkontrakt: AI-04</x:v>
      </x:c>
      <x:c r="C178" s="19" t="str">
        <x:v>Inkommande AI</x:v>
      </x:c>
      <x:c r="D178" s="19" t="str">
        <x:v>Avvikelse upptäcks – prova både uppfyllt villkor och relevant fel-/gränsfall.</x:v>
      </x:c>
      <x:c r="E178" s="19" t="str">
        <x:v>Listan är avstämningsunderlag, inte ett automatiskt masterdatafacit. → Skapa utredningspost med källbevis; en senare ändring får en egen behörig process.</x:v>
      </x:c>
      <x:c r="F178" s="19" t="str">
        <x:v>Uppdatera inte kund, objekt eller BRP direkt från listan.</x:v>
      </x:c>
      <x:c r="G178" s="19" t="str">
        <x:v>AI-04</x:v>
      </x:c>
      <x:c r="H178" s="19" t="str">
        <x:v>Planerat regelbeteendeprov</x:v>
      </x:c>
      <x:c r="I178" s="19" t="str">
        <x:v>Inte körd mot systemet</x:v>
      </x:c>
      <x:c r="J178" s="19" t="str"/>
    </x:row>
    <x:row r="179" ht="36.599998474121094" customHeight="1">
      <x:c r="A179" s="19" t="str">
        <x:v>AT-AI-05</x:v>
      </x:c>
      <x:c r="B179" s="19" t="str">
        <x:v>Regelkontrakt: AI-05</x:v>
      </x:c>
      <x:c r="C179" s="19" t="str">
        <x:v>BI i DDQ/DGI-plattform</x:v>
      </x:c>
      <x:c r="D179" s="19" t="str">
        <x:v>Export begärs – prova både uppfyllt villkor och relevant fel-/gränsfall.</x:v>
      </x:c>
      <x:c r="E179" s="19" t="str">
        <x:v>BI används enbart av nätföretag för angivna strukturändringar. → Stöd behörig mottagning/utredning; spärra utgående BI i DDQ/DGI.</x:v>
      </x:c>
      <x:c r="F179" s="19" t="str">
        <x:v>Känd CSV-struktur ger ingen marknadsbehörighet.</x:v>
      </x:c>
      <x:c r="G179" s="19" t="str">
        <x:v>AI-05</x:v>
      </x:c>
      <x:c r="H179" s="19" t="str">
        <x:v>Planerat regelbeteendeprov</x:v>
      </x:c>
      <x:c r="I179" s="19" t="str">
        <x:v>Inte körd mot systemet</x:v>
      </x:c>
      <x:c r="J179" s="19" t="str"/>
    </x:row>
    <x:row r="180" ht="50.400001525878906" customHeight="1">
      <x:c r="A180" s="19" t="str">
        <x:v>AT-DB-01</x:v>
      </x:c>
      <x:c r="B180" s="19" t="str">
        <x:v>Regelkontrakt: DB-01</x:v>
      </x:c>
      <x:c r="C180" s="19" t="str">
        <x:v>Affärsdata och protokolljournal</x:v>
      </x:c>
      <x:c r="D180" s="19" t="str">
        <x:v>Schema ändras – prova både uppfyllt villkor och relevant fel-/gränsfall.</x:v>
      </x:c>
      <x:c r="E180" s="19" t="str">
        <x:v>Identifiera befintlig auktoritativ tabell för varje uppgift innan något nytt skapas. → Utöka med expand, backfill, validate och först därefter contract.</x:v>
      </x:c>
      <x:c r="F180" s="19" t="str">
        <x:v>Skapa inte parallella kund-, regel- eller ruttauktoriteter.</x:v>
      </x:c>
      <x:c r="G180" s="19" t="str">
        <x:v>DB-01</x:v>
      </x:c>
      <x:c r="H180" s="19" t="str">
        <x:v>Planerat regelbeteendeprov</x:v>
      </x:c>
      <x:c r="I180" s="19" t="str">
        <x:v>Inte körd mot systemet</x:v>
      </x:c>
      <x:c r="J180" s="19" t="str"/>
    </x:row>
    <x:row r="181" ht="50.400001525878906" customHeight="1">
      <x:c r="A181" s="19" t="str">
        <x:v>AT-DB-02</x:v>
      </x:c>
      <x:c r="B181" s="19" t="str">
        <x:v>Regelkontrakt: DB-02</x:v>
      </x:c>
      <x:c r="C181" s="19" t="str">
        <x:v>Tenantägda relationer</x:v>
      </x:c>
      <x:c r="D181" s="19" t="str">
        <x:v>Insert/update – prova både uppfyllt villkor och relevant fel-/gränsfall.</x:v>
      </x:c>
      <x:c r="E181" s="19" t="str">
        <x:v>Verifiera tenant+id-referenser, unika idempotensnycklar och tillämpliga datum-/aktörsrelationer. → Förhindra korskoppling och motstridiga aktiva perioder med constraints/RPC.</x:v>
      </x:c>
      <x:c r="F181" s="19" t="str">
        <x:v>Frontendvalidering och ett UUID utan kontroll av parent räcker inte.</x:v>
      </x:c>
      <x:c r="G181" s="19" t="str">
        <x:v>DB-02</x:v>
      </x:c>
      <x:c r="H181" s="19" t="str">
        <x:v>Planerat regelbeteendeprov</x:v>
      </x:c>
      <x:c r="I181" s="19" t="str">
        <x:v>Inte körd mot systemet</x:v>
      </x:c>
      <x:c r="J181" s="19" t="str"/>
    </x:row>
    <x:row r="182" ht="50.400001525878906" customHeight="1">
      <x:c r="A182" s="19" t="str">
        <x:v>AT-DB-03</x:v>
      </x:c>
      <x:c r="B182" s="19" t="str">
        <x:v>Regelkontrakt: DB-03</x:v>
      </x:c>
      <x:c r="C182" s="19" t="str">
        <x:v>Mät- och strukturrättelser</x:v>
      </x:c>
      <x:c r="D182" s="19" t="str">
        <x:v>Godkänd ändring lagras – prova både uppfyllt villkor och relevant fel-/gränsfall.</x:v>
      </x:c>
      <x:c r="E182" s="19" t="str">
        <x:v>Bevara giltighetsperiod, registreringstid, mottagningstid och källmeddelande/IDE/regelbeslut. → Skapa ny version och daterad projektion.</x:v>
      </x:c>
      <x:c r="F182" s="19" t="str">
        <x:v>Förlora inte historiken eller ändra fastställt fakturaunderlag osynligt.</x:v>
      </x:c>
      <x:c r="G182" s="19" t="str">
        <x:v>DB-03</x:v>
      </x:c>
      <x:c r="H182" s="19" t="str">
        <x:v>Planerat regelbeteendeprov</x:v>
      </x:c>
      <x:c r="I182" s="19" t="str">
        <x:v>Inte körd mot systemet</x:v>
      </x:c>
      <x:c r="J182" s="19" t="str"/>
    </x:row>
    <x:row r="183" ht="50.400001525878906" customHeight="1">
      <x:c r="A183" s="19" t="str">
        <x:v>AT-DB-04</x:v>
      </x:c>
      <x:c r="B183" s="19" t="str">
        <x:v>Regelkontrakt: DB-04</x:v>
      </x:c>
      <x:c r="C183" s="19" t="str">
        <x:v>Index och frågor</x:v>
      </x:c>
      <x:c r="D183" s="19" t="str">
        <x:v>Migration/prestandaprov – prova både uppfyllt villkor och relevant fel-/gränsfall.</x:v>
      </x:c>
      <x:c r="E183" s="19" t="str">
        <x:v>Utgå från faktiska urval för tenant/aktör, status/tidsfrist, referenser, objekt/period/version och foreign keys. → Verifiera planer och belastning med EXPLAIN och representativ data.</x:v>
      </x:c>
      <x:c r="F183" s="19" t="str">
        <x:v>Index på alla kolumner ersätter inte en mätt prestandaplan.</x:v>
      </x:c>
      <x:c r="G183" s="19" t="str">
        <x:v>DB-04</x:v>
      </x:c>
      <x:c r="H183" s="19" t="str">
        <x:v>Planerat regelbeteendeprov</x:v>
      </x:c>
      <x:c r="I183" s="19" t="str">
        <x:v>Inte körd mot systemet</x:v>
      </x:c>
      <x:c r="J183" s="19" t="str"/>
    </x:row>
    <x:row r="184" ht="50.400001525878906" customHeight="1">
      <x:c r="A184" s="19" t="str">
        <x:v>AT-DB-05</x:v>
      </x:c>
      <x:c r="B184" s="19" t="str">
        <x:v>Regelkontrakt: DB-05</x:v>
      </x:c>
      <x:c r="C184" s="19" t="str">
        <x:v>Kund, tenant eller uppdrag avslutas</x:v>
      </x:c>
      <x:c r="D184" s="19" t="str">
        <x:v>Raderingsbegäran – prova både uppfyllt villkor och relevant fel-/gränsfall.</x:v>
      </x:c>
      <x:c r="E184" s="19" t="str">
        <x:v>Skilj operativ avveckling, åtkomstrevoke, persondatagallring och skyldighet att bevara journal/avräkningsunderlag. → Använd en beslutad workflow per retentionklass och behörigt underlag.</x:v>
      </x:c>
      <x:c r="F184" s="19" t="str">
        <x:v>Radera inte all historik med CASCADE och spara inte allt för alltid utan rättslig grund.</x:v>
      </x:c>
      <x:c r="G184" s="19" t="str">
        <x:v>DB-05</x:v>
      </x:c>
      <x:c r="H184" s="19" t="str">
        <x:v>Planerat regelbeteendeprov</x:v>
      </x:c>
      <x:c r="I184" s="19" t="str">
        <x:v>Inte körd mot systemet</x:v>
      </x:c>
      <x:c r="J184" s="19" t="str"/>
    </x:row>
    <x:row r="185" ht="50.400001525878906" customHeight="1">
      <x:c r="A185" s="19" t="str">
        <x:v>AT-DB-06</x:v>
      </x:c>
      <x:c r="B185" s="19" t="str">
        <x:v>Regelkontrakt: DB-06</x:v>
      </x:c>
      <x:c r="C185" s="19" t="str">
        <x:v>Fakturaunderlag i leverantörsrollen</x:v>
      </x:c>
      <x:c r="D185" s="19" t="str">
        <x:v>Underlag fastställs – prova både uppfyllt villkor och relevant fel-/gränsfall.</x:v>
      </x:c>
      <x:c r="E185" s="19" t="str">
        <x:v>Verifiera kvantitetstyp, produkt, period, leveransrelation, dataversion, prisversion och kvalitet. → Lås spårbart underlag och skapa särskild rättelsejournal vid nya data.</x:v>
      </x:c>
      <x:c r="F185" s="19" t="str">
        <x:v>S02-prognos, E31-aggregat eller DGI-leverans blir inte automatiskt individuell faktura.</x:v>
      </x:c>
      <x:c r="G185" s="19" t="str">
        <x:v>DB-06</x:v>
      </x:c>
      <x:c r="H185" s="19" t="str">
        <x:v>Planerat regelbeteendeprov</x:v>
      </x:c>
      <x:c r="I185" s="19" t="str">
        <x:v>Inte körd mot systemet</x:v>
      </x:c>
      <x:c r="J185" s="19" t="str"/>
    </x:row>
    <x:row r="186" ht="64.19999694824219" customHeight="1">
      <x:c r="A186" s="19" t="str">
        <x:v>AT-OPS-01</x:v>
      </x:c>
      <x:c r="B186" s="19" t="str">
        <x:v>Regelkontrakt: OPS-01</x:v>
      </x:c>
      <x:c r="C186" s="19" t="str">
        <x:v>Ny regel, rutt, schema eller release</x:v>
      </x:c>
      <x:c r="D186" s="19" t="str">
        <x:v>Publicering/konfigurationsändring – prova både uppfyllt villkor och relevant fel-/gränsfall.</x:v>
      </x:c>
      <x:c r="E186" s="19" t="str">
        <x:v>Skapa nytt bevis per berörd tenant, aktörsroll och kapabilitet med versionslåst dependencyhash. → Ogiltigförklara berörda bevis och gör ny prövning; skydda samtidigt fortsatt mottagnings-/kvittenshantering.</x:v>
      </x:c>
      <x:c r="F186" s="19" t="str">
        <x:v>Ett gammalt globalt is_ready godkänner inte nya funktioner eller tenants.</x:v>
      </x:c>
      <x:c r="G186" s="19" t="str">
        <x:v>OPS-01</x:v>
      </x:c>
      <x:c r="H186" s="19" t="str">
        <x:v>Planerat regelbeteendeprov</x:v>
      </x:c>
      <x:c r="I186" s="19" t="str">
        <x:v>Inte körd mot systemet</x:v>
      </x:c>
      <x:c r="J186" s="19" t="str"/>
    </x:row>
    <x:row r="187" ht="50.400001525878906" customHeight="1">
      <x:c r="A187" s="19" t="str">
        <x:v>AT-OPS-02</x:v>
      </x:c>
      <x:c r="B187" s="19" t="str">
        <x:v>Regelkontrakt: OPS-02</x:v>
      </x:c>
      <x:c r="C187" s="19" t="str">
        <x:v>Öppna ärenden</x:v>
      </x:c>
      <x:c r="D187" s="19" t="str">
        <x:v>Varje händelse eller timer – prova både uppfyllt villkor och relevant fel-/gränsfall.</x:v>
      </x:c>
      <x:c r="E187" s="19" t="str">
        <x:v>Beräkna nästa åtgärd från processbeslutet med orsak, tidsgrund, ansvar och blockerare. → Visa vad systemet väntar på och vilka åtgärder som faktiskt är tillåtna.</x:v>
      </x:c>
      <x:c r="F187" s="19" t="str">
        <x:v>Ett statiskt waiting_for_contrl-fält får inte styra hela affärskedjan.</x:v>
      </x:c>
      <x:c r="G187" s="19" t="str">
        <x:v>OPS-02</x:v>
      </x:c>
      <x:c r="H187" s="19" t="str">
        <x:v>Planerat regelbeteendeprov</x:v>
      </x:c>
      <x:c r="I187" s="19" t="str">
        <x:v>Inte körd mot systemet</x:v>
      </x:c>
      <x:c r="J187" s="19" t="str"/>
    </x:row>
    <x:row r="188" ht="50.400001525878906" customHeight="1">
      <x:c r="A188" s="19" t="str">
        <x:v>AT-OPS-03</x:v>
      </x:c>
      <x:c r="B188" s="19" t="str">
        <x:v>Regelkontrakt: OPS-03</x:v>
      </x:c>
      <x:c r="C188" s="19" t="str">
        <x:v>Releasegodkännande</x:v>
      </x:c>
      <x:c r="D188" s="19" t="str">
        <x:v>Tester sammanställs – prova både uppfyllt villkor och relevant fel-/gränsfall.</x:v>
      </x:c>
      <x:c r="E188" s="19" t="str">
        <x:v>Håll dokumenttäckning, enhetstest, integration, tenant-E2E, transport och TGT som separata bevis. → Lås release till exakt head och testa flera tenants, DDQ, DGI och cross-tenantuppdrag.</x:v>
      </x:c>
      <x:c r="F188" s="19" t="str">
        <x:v>Specifikations-JSON som validerar är inte produktions-E2E eller formellt Edielgodkännande.</x:v>
      </x:c>
      <x:c r="G188" s="19" t="str">
        <x:v>OPS-03</x:v>
      </x:c>
      <x:c r="H188" s="19" t="str">
        <x:v>Planerat regelbeteendeprov</x:v>
      </x:c>
      <x:c r="I188" s="19" t="str">
        <x:v>Inte körd mot systemet</x:v>
      </x:c>
      <x:c r="J188" s="19" t="str"/>
    </x:row>
    <x:row r="189" ht="50.400001525878906" customHeight="1">
      <x:c r="A189" s="19" t="str">
        <x:v>AT-OPS-04</x:v>
      </x:c>
      <x:c r="B189" s="19" t="str">
        <x:v>Regelkontrakt: OPS-04</x:v>
      </x:c>
      <x:c r="C189" s="19" t="str">
        <x:v>Kontrollerad produktionstest</x:v>
      </x:c>
      <x:c r="D189" s="19" t="str">
        <x:v>Efter rättelse – prova både uppfyllt villkor och relevant fel-/gränsfall.</x:v>
      </x:c>
      <x:c r="E189" s="19" t="str">
        <x:v>Verifiera incidentspår, rutt, certifikat, profil och tenantkontext samt ett överenskommet motpartsprov. → Genomför ett kontrollerat verkligt förlopp i rätt miljö.</x:v>
      </x:c>
      <x:c r="F189" s="19" t="str">
        <x:v>Massimport av referenser eller blinda omsändningar är inte en teststrategi.</x:v>
      </x:c>
      <x:c r="G189" s="19" t="str">
        <x:v>OPS-04</x:v>
      </x:c>
      <x:c r="H189" s="19" t="str">
        <x:v>Planerat regelbeteendeprov</x:v>
      </x:c>
      <x:c r="I189" s="19" t="str">
        <x:v>Inte körd mot systemet</x:v>
      </x:c>
      <x:c r="J189" s="19" t="str"/>
    </x:row>
    <x:row r="190" ht="50.400001525878906" customHeight="1">
      <x:c r="A190" s="19" t="str">
        <x:v>AT-OPS-05</x:v>
      </x:c>
      <x:c r="B190" s="19" t="str">
        <x:v>Regelkontrakt: OPS-05</x:v>
      </x:c>
      <x:c r="C190" s="19" t="str">
        <x:v>Internt fel eller okänd kontext</x:v>
      </x:c>
      <x:c r="D190" s="19" t="str">
        <x:v>Runtimefel – prova både uppfyllt villkor och relevant fel-/gränsfall.</x:v>
      </x:c>
      <x:c r="E190" s="19" t="str">
        <x:v>Skilj protocol_rejection från internal_failure, security_quarantine och unsupported_capability. → Larma, bevara original och kvittensstatus och ge bara källstödda externa svar.</x:v>
      </x:c>
      <x:c r="F190" s="19" t="str">
        <x:v>Hitta inte på APERAK-fält42/xxx därför att den egna applikationen kraschar.</x:v>
      </x:c>
      <x:c r="G190" s="19" t="str">
        <x:v>OPS-05</x:v>
      </x:c>
      <x:c r="H190" s="19" t="str">
        <x:v>Planerat regelbeteendeprov</x:v>
      </x:c>
      <x:c r="I190" s="19" t="str">
        <x:v>Inte körd mot systemet</x:v>
      </x:c>
      <x:c r="J190" s="19" t="str"/>
    </x:row>
    <x:row r="191" ht="50.400001525878906" customHeight="1">
      <x:c r="A191" s="19" t="str">
        <x:v>AT-ENV-10</x:v>
      </x:c>
      <x:c r="B191" s="19" t="str">
        <x:v>Regelkontrakt: ENV-10</x:v>
      </x:c>
      <x:c r="C191" s="19" t="str">
        <x:v>PRODAT CCI kontra UTILTS CCI</x:v>
      </x:c>
      <x:c r="D191" s="19" t="str">
        <x:v>Fältlokalisering – prova både uppfyllt villkor och relevant fel-/gränsfall.</x:v>
      </x:c>
      <x:c r="E191" s="19" t="str">
        <x:v>PRODAT använder SG14/CCI/C502/6313 för Z-egenskapen. UTILTS använder normalt C240/7037. Samma segmentnamn betyder inte samma elementlayout. → Bind till familjens/releasens fulla segmentdefinition.</x:v>
      </x:c>
      <x:c r="F191" s="19" t="str">
        <x:v>Använd inte en gemensam CCI-position som flyttar PRODAT-egenskaper.</x:v>
      </x:c>
      <x:c r="G191" s="19" t="str">
        <x:v>ENV-10</x:v>
      </x:c>
      <x:c r="H191" s="19" t="str">
        <x:v>Planerat regelbeteendeprov</x:v>
      </x:c>
      <x:c r="I191" s="19" t="str">
        <x:v>Inte körd mot systemet</x:v>
      </x:c>
      <x:c r="J191" s="19" t="str"/>
    </x:row>
    <x:row r="192" ht="50.400001525878906" customHeight="1">
      <x:c r="A192" s="19" t="str">
        <x:v>AT-ACK-10</x:v>
      </x:c>
      <x:c r="B192" s="19" t="str">
        <x:v>Regelkontrakt: ACK-10</x:v>
      </x:c>
      <x:c r="C192" s="19" t="str">
        <x:v>APERAK på PRODAT</x:v>
      </x:c>
      <x:c r="D192" s="19" t="str">
        <x:v>Byggare/korrelation – prova både uppfyllt villkor och relevant fel-/gränsfall.</x:v>
      </x:c>
      <x:c r="E192" s="19" t="str">
        <x:v>BGM/1225 bär27/34; BGM/1001 och1004 används inte. Exempel på struktur är BGM+++34. → Använd RFF+ACW till originaletsBGM och eget teknisktUNH/arkiv-id.</x:v>
      </x:c>
      <x:c r="F192" s="19" t="str">
        <x:v>Placera inte27/34 i1001 eller kräv eget P-APERAKBGM-id.</x:v>
      </x:c>
      <x:c r="G192" s="19" t="str">
        <x:v>ACK-10</x:v>
      </x:c>
      <x:c r="H192" s="19" t="str">
        <x:v>Planerat regelbeteendeprov</x:v>
      </x:c>
      <x:c r="I192" s="19" t="str">
        <x:v>Inte körd mot systemet</x:v>
      </x:c>
      <x:c r="J192" s="19" t="str"/>
    </x:row>
    <x:row r="193" ht="64.19999694824219" customHeight="1">
      <x:c r="A193" s="19" t="str">
        <x:v>AT-U-15</x:v>
      </x:c>
      <x:c r="B193" s="19" t="str">
        <x:v>Regelkontrakt: U-15</x:v>
      </x:c>
      <x:c r="C193" s="19" t="str">
        <x:v>Utgående och inkommande UTILTS</x:v>
      </x:c>
      <x:c r="D193" s="19" t="str">
        <x:v>Batch och validering – prova både uppfyllt villkor och relevant fel-/gränsfall.</x:v>
      </x:c>
      <x:c r="E193" s="19" t="str">
        <x:v>En UTILTS-överföring UNB–UNZ innehåller endast ett meddelande UNH–UNT och en juridisk mottagare. Blanda inte skeden, anledning eller kvart-/månadsupplösning enligt Application Reference. → Paketera kompatibla transaktioner till rätt mottagare inom tillåtna gränser.</x:v>
      </x:c>
      <x:c r="F193" s="19" t="str">
        <x:v>En generell multi-message-codec får inte kringgå UTILTS specifika paketeringsregel.</x:v>
      </x:c>
      <x:c r="G193" s="19" t="str">
        <x:v>U-15</x:v>
      </x:c>
      <x:c r="H193" s="19" t="str">
        <x:v>Planerat regelbeteendeprov</x:v>
      </x:c>
      <x:c r="I193" s="19" t="str">
        <x:v>Inte körd mot systemet</x:v>
      </x:c>
      <x:c r="J193" s="19" t="str"/>
    </x:row>
    <x:row r="194" ht="64.19999694824219" customHeight="1">
      <x:c r="A194" s="19" t="str">
        <x:v>AT-U-16</x:v>
      </x:c>
      <x:c r="B194" s="19" t="str">
        <x:v>Regelkontrakt: U-16</x:v>
      </x:c>
      <x:c r="C194" s="19" t="str">
        <x:v>UTILTS och allmänna Ediel-filer</x:v>
      </x:c>
      <x:c r="D194" s="19" t="str">
        <x:v>Paketering/kapacitetsplan – prova både uppfyllt villkor och relevant fel-/gränsfall.</x:v>
      </x:c>
      <x:c r="E194" s="19" t="str">
        <x:v>T anger rekommenderad maxstorlek10MB; U anger fortfarande1MB och999transaktioner. Skilj rekommendation från syntax/nationell kardinalitet. → Utgående U kan hållas inom1MB och999 för att uppfylla båda; dokumentera mottagarkapacitet och fulla grammatikgränser.</x:v>
      </x:c>
      <x:c r="F194" s="19" t="str">
        <x:v>Avvisa inte automatiskt meddelande över en rekommendation med påhittad syntaxfelkod.</x:v>
      </x:c>
      <x:c r="G194" s="19" t="str">
        <x:v>U-16</x:v>
      </x:c>
      <x:c r="H194" s="19" t="str">
        <x:v>Planerat regelbeteendeprov</x:v>
      </x:c>
      <x:c r="I194" s="19" t="str">
        <x:v>Inte körd mot systemet</x:v>
      </x:c>
      <x:c r="J194" s="19" t="str"/>
    </x:row>
    <x:row r="195" ht="50.400001525878906" customHeight="1">
      <x:c r="A195" s="19" t="str">
        <x:v>AT-U-17</x:v>
      </x:c>
      <x:c r="B195" s="19" t="str">
        <x:v>Regelkontrakt: U-17</x:v>
      </x:c>
      <x:c r="C195" s="19" t="str">
        <x:v>UTILTS guidefel utan direkt numrerat fält</x:v>
      </x:c>
      <x:c r="D195" s="19" t="str">
        <x:v>Felreferens byggs – prova både uppfyllt villkor och relevant fel-/gränsfall.</x:v>
      </x:c>
      <x:c r="E195" s="19" t="str">
        <x:v>När bilaga1 säger om möjligt används i första hand fältnummer; annars, om möjligt, angiven segment-/elementreferens med max17tecken. → Behåll källstyrd hänvisning såsom DTM/2005 i tillämpligt fall.</x:v>
      </x:c>
      <x:c r="F195" s="19" t="str">
        <x:v>Påstå inte att alla fel måste ha ett numeriskt fältnummer eller gissa ett från kvalificeraren.</x:v>
      </x:c>
      <x:c r="G195" s="19" t="str">
        <x:v>U-17</x:v>
      </x:c>
      <x:c r="H195" s="19" t="str">
        <x:v>Planerat regelbeteendeprov</x:v>
      </x:c>
      <x:c r="I195" s="19" t="str">
        <x:v>Inte körd mot systemet</x:v>
      </x:c>
      <x:c r="J195" s="19" t="str"/>
    </x:row>
    <x:row r="196" ht="64.19999694824219" customHeight="1">
      <x:c r="A196" s="19" t="str">
        <x:v>AT-U-18</x:v>
      </x:c>
      <x:c r="B196" s="19" t="str">
        <x:v>Regelkontrakt: U-18</x:v>
      </x:c>
      <x:c r="C196" s="19" t="str">
        <x:v>UTILTS med ställningar och energi</x:v>
      </x:c>
      <x:c r="D196" s="19" t="str">
        <x:v>Observationer parsas/byggs – prova både uppfyllt villkor och relevant fel-/gränsfall.</x:v>
      </x:c>
      <x:c r="E196" s="19" t="str">
        <x:v>Håll energier sammanhängande och tidsordnade; ställningar sammanhängande och tidsordnade. Blockens inbördes ordning är valfri. Samma ställning med tid får inte dupliceras inom transaktionen. → Bevara observationernas typ och ordning enligt gruppen.</x:v>
      </x:c>
      <x:c r="F196" s="19" t="str">
        <x:v>Kräv inte alltid ställningar först och blanda inte ställningar mellan energivärden.</x:v>
      </x:c>
      <x:c r="G196" s="19" t="str">
        <x:v>U-18</x:v>
      </x:c>
      <x:c r="H196" s="19" t="str">
        <x:v>Planerat regelbeteendeprov</x:v>
      </x:c>
      <x:c r="I196" s="19" t="str">
        <x:v>Inte körd mot systemet</x:v>
      </x:c>
      <x:c r="J196" s="19" t="str"/>
    </x:row>
    <x:row r="197" ht="78" customHeight="1">
      <x:c r="A197" s="19" t="str">
        <x:v>AT-U-19</x:v>
      </x:c>
      <x:c r="B197" s="19" t="str">
        <x:v>Regelkontrakt: U-19</x:v>
      </x:c>
      <x:c r="C197" s="19" t="str">
        <x:v>RFF med referensfält226</x:v>
      </x:c>
      <x:c r="D197" s="19" t="str">
        <x:v>Nationell kontroll – prova både uppfyllt villkor och relevant fel-/gränsfall.</x:v>
      </x:c>
      <x:c r="E197" s="19" t="str">
        <x:v>Referens till PRODAT-ärende används för korrelation där den går att knyta; bilaga1 anger inga kontroller av värdet och ingen avvisning om kvalificeraren inte är TN. → Använd referensen för möjlig korrelation utan att göra den till obligatorisk auktoriseringsnyckel för alla serier.</x:v>
      </x:c>
      <x:c r="F197" s="19" t="str">
        <x:v>Avvisa inte giltig E66 enbart för avsaknad/fel korrelationsreferens där guiden inte föreskriver det.</x:v>
      </x:c>
      <x:c r="G197" s="19" t="str">
        <x:v>U-19</x:v>
      </x:c>
      <x:c r="H197" s="19" t="str">
        <x:v>Planerat regelbeteendeprov</x:v>
      </x:c>
      <x:c r="I197" s="19" t="str">
        <x:v>Inte körd mot systemet</x:v>
      </x:c>
      <x:c r="J197" s="19" t="str"/>
    </x:row>
    <x:row r="198" ht="50.400001525878906" customHeight="1">
      <x:c r="A198" s="19" t="str">
        <x:v>AT-Z01L-SUPPLIER</x:v>
      </x:c>
      <x:c r="B198" s="19" t="str">
        <x:v>Meddelandefall Z01L</x:v>
      </x:c>
      <x:c r="C198" s="19" t="str">
        <x:v>SUPPLIER; Kund/fullmakt, anläggning, nätområde och avtalad tilltänkt start enligt fältprofil.</x:v>
      </x:c>
      <x:c r="D198" s="19" t="str">
        <x:v>Behörig kontroll av kundens nätavtalsuppgifter inför möjlig start; inte obligatoriskt om korrekta uppgifter redan finns.</x:v>
      </x:c>
      <x:c r="E198" s="19" t="str">
        <x:v>23-DDQ-PRODAT; BGM=Z01; fält223=Z22; CONTRL; Z02 eller negativ APERAK. AB kan begäras men positiv APERAK är ingen startspärr.; Skapa uppgiftsärende och bevakning; ingen leveransaktivering.</x:v>
      </x:c>
      <x:c r="F198" s="19" t="str">
        <x:v>Fel roll, fel riktning, saknade R/D-fält, felaktig korrelation eller mutation ska inte verkställas.</x:v>
      </x:c>
      <x:c r="G198" s="19" t="str">
        <x:v>TEN-05; P-01; ENV-06</x:v>
      </x:c>
      <x:c r="H198" s="19" t="str">
        <x:v>Planerat meddelande-/rollprov</x:v>
      </x:c>
      <x:c r="I198" s="19" t="str">
        <x:v>Inte körd mot systemet</x:v>
      </x:c>
      <x:c r="J198" s="19" t="str"/>
    </x:row>
    <x:row r="199" ht="64.19999694824219" customHeight="1">
      <x:c r="A199" s="19" t="str">
        <x:v>AT-Z02L-SUPPLIER</x:v>
      </x:c>
      <x:c r="B199" s="19" t="str">
        <x:v>Meddelandefall Z02L</x:v>
      </x:c>
      <x:c r="C199" s="19" t="str">
        <x:v>SUPPLIER; Inte Z03 eller Z04; får inte aktivera leverans.</x:v>
      </x:c>
      <x:c r="D199" s="19" t="str">
        <x:v>Svar på egen korrelerad Z01.</x:v>
      </x:c>
      <x:c r="E199" s="19" t="str">
        <x:v>23-DDQ-PRODAT; BGM=Z02; fält223=Z22; Generera CONTRL och tillämplig APERAK; inget automatiskt kvittenskrav före behandling.; Validera rätt kund/objekt/nätområde/LI; lagra verifierade uppgifter; pröva därefter om separat Z03-kommando är redo.</x:v>
      </x:c>
      <x:c r="F199" s="19" t="str">
        <x:v>Fel roll, fel riktning, saknade R/D-fält, felaktig korrelation eller mutation ska inte verkställas.</x:v>
      </x:c>
      <x:c r="G199" s="19" t="str">
        <x:v>TEN-05; P-01; ENV-06</x:v>
      </x:c>
      <x:c r="H199" s="19" t="str">
        <x:v>Planerat meddelande-/rollprov</x:v>
      </x:c>
      <x:c r="I199" s="19" t="str">
        <x:v>Inte körd mot systemet</x:v>
      </x:c>
      <x:c r="J199" s="19" t="str"/>
    </x:row>
    <x:row r="200" ht="50.400001525878906" customHeight="1">
      <x:c r="A200" s="19" t="str">
        <x:v>AT-Z03L-SUPPLIER</x:v>
      </x:c>
      <x:c r="B200" s="19" t="str">
        <x:v>Meddelandefall Z03L</x:v>
      </x:c>
      <x:c r="C200" s="19" t="str">
        <x:v>SUPPLIER; Startfönster L D-14 dagar; LK senast inflyttningsdagen; max14 kalendermånader före.</x:v>
      </x:c>
      <x:c r="D200" s="19" t="str">
        <x:v>Nytt giltigt leveransavtal; L=leverantörsbyte, LK=kund- och leverantörsbyte/flytt.</x:v>
      </x:c>
      <x:c r="E200" s="19" t="str">
        <x:v>23-DDQ-PRODAT; BGM=Z03; fält223=Z22; CONTRL, APERAK, rätt Z04L/LK; dessa är olika förväntningar.; Skapa bytes-/flyttärende och tillåtna timers, inte aktiv leverans.</x:v>
      </x:c>
      <x:c r="F200" s="19" t="str">
        <x:v>Fel roll, fel riktning, saknade R/D-fält, felaktig korrelation eller mutation ska inte verkställas.</x:v>
      </x:c>
      <x:c r="G200" s="19" t="str">
        <x:v>TEN-05; P-01; ENV-06</x:v>
      </x:c>
      <x:c r="H200" s="19" t="str">
        <x:v>Planerat meddelande-/rollprov</x:v>
      </x:c>
      <x:c r="I200" s="19" t="str">
        <x:v>Inte körd mot systemet</x:v>
      </x:c>
      <x:c r="J200" s="19" t="str"/>
    </x:row>
    <x:row r="201" ht="50.400001525878906" customHeight="1">
      <x:c r="A201" s="19" t="str">
        <x:v>AT-Z04L-SUPPLIER</x:v>
      </x:c>
      <x:c r="B201" s="19" t="str">
        <x:v>Meddelandefall Z04L</x:v>
      </x:c>
      <x:c r="C201" s="19" t="str">
        <x:v>SUPPLIER; Z04 får komma före positiv APERAK. Samma LI ensamt räcker inte för korrelation.</x:v>
      </x:c>
      <x:c r="D201" s="19" t="str">
        <x:v>Nätägarens affärsbekräftelse på egen Z03.</x:v>
      </x:c>
      <x:c r="E201" s="19" t="str">
        <x:v>23-DDQ-PRODAT; BGM=Z04; fält223=Z22; CONTRL och tillämplig APERAK i retur.; Skapa bekräftad framtida leveransperiod; aktivera först vid korrekt start och oförändrat giltigt ärende.</x:v>
      </x:c>
      <x:c r="F201" s="19" t="str">
        <x:v>Fel roll, fel riktning, saknade R/D-fält, felaktig korrelation eller mutation ska inte verkställas.</x:v>
      </x:c>
      <x:c r="G201" s="19" t="str">
        <x:v>TEN-05; P-01; ENV-06</x:v>
      </x:c>
      <x:c r="H201" s="19" t="str">
        <x:v>Planerat meddelande-/rollprov</x:v>
      </x:c>
      <x:c r="I201" s="19" t="str">
        <x:v>Inte körd mot systemet</x:v>
      </x:c>
      <x:c r="J201" s="19" t="str"/>
    </x:row>
    <x:row r="202" ht="64.19999694824219" customHeight="1">
      <x:c r="A202" s="19" t="str">
        <x:v>AT-Z05L-SUPPLIER</x:v>
      </x:c>
      <x:c r="B202" s="19" t="str">
        <x:v>Meddelandefall Z05L</x:v>
      </x:c>
      <x:c r="C202" s="19" t="str">
        <x:v>SUPPLIER; Z05L kan referera till Z08H; Z05LK kan vara följd av utflytt efter Z09E men är inte Z09E-svar.</x:v>
      </x:c>
      <x:c r="D202" s="19" t="str">
        <x:v>Nätägarens information till tidigare leverantör.</x:v>
      </x:c>
      <x:c r="E202" s="19" t="str">
        <x:v>23-DDQ-PRODAT; BGM=Z05; fält223=Z22; CONTRL och tillämplig APERAK; normalt ingen egen affärsbekräftelse tillbaka.; Avsluta berörd leveransperiod vid angivet giltigt slut, planera slutvärden/slutunderlag; behåll historik.</x:v>
      </x:c>
      <x:c r="F202" s="19" t="str">
        <x:v>Fel roll, fel riktning, saknade R/D-fält, felaktig korrelation eller mutation ska inte verkställas.</x:v>
      </x:c>
      <x:c r="G202" s="19" t="str">
        <x:v>TEN-05; P-01; ENV-06</x:v>
      </x:c>
      <x:c r="H202" s="19" t="str">
        <x:v>Planerat meddelande-/rollprov</x:v>
      </x:c>
      <x:c r="I202" s="19" t="str">
        <x:v>Inte körd mot systemet</x:v>
      </x:c>
      <x:c r="J202" s="19" t="str"/>
    </x:row>
    <x:row r="203" ht="50.400001525878906" customHeight="1">
      <x:c r="A203" s="19" t="str">
        <x:v>AT-Z01LK-SUPPLIER</x:v>
      </x:c>
      <x:c r="B203" s="19" t="str">
        <x:v>Meddelandefall Z01LK</x:v>
      </x:c>
      <x:c r="C203" s="19" t="str">
        <x:v>SUPPLIER; Kund/fullmakt, anläggning, nätområde och avtalad tilltänkt start enligt fältprofil.</x:v>
      </x:c>
      <x:c r="D203" s="19" t="str">
        <x:v>Behörig kontroll av kundens nätavtalsuppgifter inför möjlig start; inte obligatoriskt om korrekta uppgifter redan finns.</x:v>
      </x:c>
      <x:c r="E203" s="19" t="str">
        <x:v>23-DDQ-PRODAT; BGM=Z01; fält223=Z23; CONTRL; Z02 eller negativ APERAK. AB kan begäras men positiv APERAK är ingen startspärr.; Skapa uppgiftsärende och bevakning; ingen leveransaktivering.</x:v>
      </x:c>
      <x:c r="F203" s="19" t="str">
        <x:v>Fel roll, fel riktning, saknade R/D-fält, felaktig korrelation eller mutation ska inte verkställas.</x:v>
      </x:c>
      <x:c r="G203" s="19" t="str">
        <x:v>TEN-05; P-01; ENV-06</x:v>
      </x:c>
      <x:c r="H203" s="19" t="str">
        <x:v>Planerat meddelande-/rollprov</x:v>
      </x:c>
      <x:c r="I203" s="19" t="str">
        <x:v>Inte körd mot systemet</x:v>
      </x:c>
      <x:c r="J203" s="19" t="str"/>
    </x:row>
    <x:row r="204" ht="64.19999694824219" customHeight="1">
      <x:c r="A204" s="19" t="str">
        <x:v>AT-Z02LK-SUPPLIER</x:v>
      </x:c>
      <x:c r="B204" s="19" t="str">
        <x:v>Meddelandefall Z02LK</x:v>
      </x:c>
      <x:c r="C204" s="19" t="str">
        <x:v>SUPPLIER; Inte Z03 eller Z04; får inte aktivera leverans.</x:v>
      </x:c>
      <x:c r="D204" s="19" t="str">
        <x:v>Svar på egen korrelerad Z01.</x:v>
      </x:c>
      <x:c r="E204" s="19" t="str">
        <x:v>23-DDQ-PRODAT; BGM=Z02; fält223=Z23; Generera CONTRL och tillämplig APERAK; inget automatiskt kvittenskrav före behandling.; Validera rätt kund/objekt/nätområde/LI; lagra verifierade uppgifter; pröva därefter om separat Z03-kommando är redo.</x:v>
      </x:c>
      <x:c r="F204" s="19" t="str">
        <x:v>Fel roll, fel riktning, saknade R/D-fält, felaktig korrelation eller mutation ska inte verkställas.</x:v>
      </x:c>
      <x:c r="G204" s="19" t="str">
        <x:v>TEN-05; P-01; ENV-06</x:v>
      </x:c>
      <x:c r="H204" s="19" t="str">
        <x:v>Planerat meddelande-/rollprov</x:v>
      </x:c>
      <x:c r="I204" s="19" t="str">
        <x:v>Inte körd mot systemet</x:v>
      </x:c>
      <x:c r="J204" s="19" t="str"/>
    </x:row>
    <x:row r="205" ht="50.400001525878906" customHeight="1">
      <x:c r="A205" s="19" t="str">
        <x:v>AT-Z03LK-SUPPLIER</x:v>
      </x:c>
      <x:c r="B205" s="19" t="str">
        <x:v>Meddelandefall Z03LK</x:v>
      </x:c>
      <x:c r="C205" s="19" t="str">
        <x:v>SUPPLIER; Startfönster L D-14 dagar; LK senast inflyttningsdagen; max14 kalendermånader före.</x:v>
      </x:c>
      <x:c r="D205" s="19" t="str">
        <x:v>Nytt giltigt leveransavtal; L=leverantörsbyte, LK=kund- och leverantörsbyte/flytt.</x:v>
      </x:c>
      <x:c r="E205" s="19" t="str">
        <x:v>23-DDQ-PRODAT; BGM=Z03; fält223=Z23; CONTRL, APERAK, rätt Z04L/LK; dessa är olika förväntningar.; Skapa bytes-/flyttärende och tillåtna timers, inte aktiv leverans.</x:v>
      </x:c>
      <x:c r="F205" s="19" t="str">
        <x:v>Fel roll, fel riktning, saknade R/D-fält, felaktig korrelation eller mutation ska inte verkställas.</x:v>
      </x:c>
      <x:c r="G205" s="19" t="str">
        <x:v>TEN-05; P-01; ENV-06</x:v>
      </x:c>
      <x:c r="H205" s="19" t="str">
        <x:v>Planerat meddelande-/rollprov</x:v>
      </x:c>
      <x:c r="I205" s="19" t="str">
        <x:v>Inte körd mot systemet</x:v>
      </x:c>
      <x:c r="J205" s="19" t="str"/>
    </x:row>
    <x:row r="206" ht="50.400001525878906" customHeight="1">
      <x:c r="A206" s="19" t="str">
        <x:v>AT-Z04LK-SUPPLIER</x:v>
      </x:c>
      <x:c r="B206" s="19" t="str">
        <x:v>Meddelandefall Z04LK</x:v>
      </x:c>
      <x:c r="C206" s="19" t="str">
        <x:v>SUPPLIER; Z04 får komma före positiv APERAK. Samma LI ensamt räcker inte för korrelation.</x:v>
      </x:c>
      <x:c r="D206" s="19" t="str">
        <x:v>Nätägarens affärsbekräftelse på egen Z03.</x:v>
      </x:c>
      <x:c r="E206" s="19" t="str">
        <x:v>23-DDQ-PRODAT; BGM=Z04; fält223=Z23; CONTRL och tillämplig APERAK i retur.; Skapa bekräftad framtida leveransperiod; aktivera först vid korrekt start och oförändrat giltigt ärende.</x:v>
      </x:c>
      <x:c r="F206" s="19" t="str">
        <x:v>Fel roll, fel riktning, saknade R/D-fält, felaktig korrelation eller mutation ska inte verkställas.</x:v>
      </x:c>
      <x:c r="G206" s="19" t="str">
        <x:v>TEN-05; P-01; ENV-06</x:v>
      </x:c>
      <x:c r="H206" s="19" t="str">
        <x:v>Planerat meddelande-/rollprov</x:v>
      </x:c>
      <x:c r="I206" s="19" t="str">
        <x:v>Inte körd mot systemet</x:v>
      </x:c>
      <x:c r="J206" s="19" t="str"/>
    </x:row>
    <x:row r="207" ht="64.19999694824219" customHeight="1">
      <x:c r="A207" s="19" t="str">
        <x:v>AT-Z05LK-SUPPLIER</x:v>
      </x:c>
      <x:c r="B207" s="19" t="str">
        <x:v>Meddelandefall Z05LK</x:v>
      </x:c>
      <x:c r="C207" s="19" t="str">
        <x:v>SUPPLIER; Z05L kan referera till Z08H; Z05LK kan vara följd av utflytt efter Z09E men är inte Z09E-svar.</x:v>
      </x:c>
      <x:c r="D207" s="19" t="str">
        <x:v>Nätägarens information till tidigare leverantör.</x:v>
      </x:c>
      <x:c r="E207" s="19" t="str">
        <x:v>23-DDQ-PRODAT; BGM=Z05; fält223=Z23; CONTRL och tillämplig APERAK; normalt ingen egen affärsbekräftelse tillbaka.; Avsluta berörd leveransperiod vid angivet giltigt slut, planera slutvärden/slutunderlag; behåll historik.</x:v>
      </x:c>
      <x:c r="F207" s="19" t="str">
        <x:v>Fel roll, fel riktning, saknade R/D-fält, felaktig korrelation eller mutation ska inte verkställas.</x:v>
      </x:c>
      <x:c r="G207" s="19" t="str">
        <x:v>TEN-05; P-01; ENV-06</x:v>
      </x:c>
      <x:c r="H207" s="19" t="str">
        <x:v>Planerat meddelande-/rollprov</x:v>
      </x:c>
      <x:c r="I207" s="19" t="str">
        <x:v>Inte körd mot systemet</x:v>
      </x:c>
      <x:c r="J207" s="19" t="str"/>
    </x:row>
    <x:row r="208" ht="50.400001525878906" customHeight="1">
      <x:c r="A208" s="19" t="str">
        <x:v>AT-Z03C-SUPPLIER</x:v>
      </x:c>
      <x:c r="B208" s="19" t="str">
        <x:v>Meddelandefall Z03C</x:v>
      </x:c>
      <x:c r="C208" s="19" t="str">
        <x:v>SUPPLIER; Referera rätt originalärende/objekt/kund; L senast4dagar före, LK senast inflyttningsdagen.</x:v>
      </x:c>
      <x:c r="D208" s="19" t="str">
        <x:v>Återtag av eget bytes-/flyttärende inom kancelleringsfönstret.</x:v>
      </x:c>
      <x:c r="E208" s="19" t="str">
        <x:v>23-DDQ-PRODAT; BGM=Z03; fält223=Z24; CONTRL, APERAK och enligt förloppet Z04C.; Markera kancellering begärd; inte färdig enbart på SMTP250.</x:v>
      </x:c>
      <x:c r="F208" s="19" t="str">
        <x:v>Fel roll, fel riktning, saknade R/D-fält, felaktig korrelation eller mutation ska inte verkställas.</x:v>
      </x:c>
      <x:c r="G208" s="19" t="str">
        <x:v>TEN-05; P-01; ENV-06</x:v>
      </x:c>
      <x:c r="H208" s="19" t="str">
        <x:v>Planerat meddelande-/rollprov</x:v>
      </x:c>
      <x:c r="I208" s="19" t="str">
        <x:v>Inte körd mot systemet</x:v>
      </x:c>
      <x:c r="J208" s="19" t="str"/>
    </x:row>
    <x:row r="209" ht="50.400001525878906" customHeight="1">
      <x:c r="A209" s="19" t="str">
        <x:v>AT-Z04C-SUPPLIER</x:v>
      </x:c>
      <x:c r="B209" s="19" t="str">
        <x:v>Meddelandefall Z04C</x:v>
      </x:c>
      <x:c r="C209" s="19" t="str">
        <x:v>SUPPLIER; Bevara original- och kancelleringsordning; kancellering före original lagras för begränsad korrelation, ingen godtycklig aktivering.</x:v>
      </x:c>
      <x:c r="D209" s="19" t="str">
        <x:v>Bekräftelse/korrigering som upphäver berört startförlopp.</x:v>
      </x:c>
      <x:c r="E209" s="19" t="str">
        <x:v>23-DDQ-PRODAT; BGM=Z04; fält223=Z24; CONTRL och tillämplig APERAK.; Upphäv endast rätt bekräftade/framtida period; vid redan verkställd effekt starta kontrollerad kompensation.</x:v>
      </x:c>
      <x:c r="F209" s="19" t="str">
        <x:v>Fel roll, fel riktning, saknade R/D-fält, felaktig korrelation eller mutation ska inte verkställas.</x:v>
      </x:c>
      <x:c r="G209" s="19" t="str">
        <x:v>TEN-05; P-01; ENV-06</x:v>
      </x:c>
      <x:c r="H209" s="19" t="str">
        <x:v>Planerat meddelande-/rollprov</x:v>
      </x:c>
      <x:c r="I209" s="19" t="str">
        <x:v>Inte körd mot systemet</x:v>
      </x:c>
      <x:c r="J209" s="19" t="str"/>
    </x:row>
    <x:row r="210" ht="50.400001525878906" customHeight="1">
      <x:c r="A210" s="19" t="str">
        <x:v>AT-Z05C-SUPPLIER</x:v>
      </x:c>
      <x:c r="B210" s="19" t="str">
        <x:v>Meddelandefall Z05C</x:v>
      </x:c>
      <x:c r="C210" s="19" t="str">
        <x:v>SUPPLIER; Skilj återtag av leveransslut från ESCO Z15C.</x:v>
      </x:c>
      <x:c r="D210" s="19" t="str">
        <x:v>Tidigare meddelat leveransslut återtas.</x:v>
      </x:c>
      <x:c r="E210" s="19" t="str">
        <x:v>23-DDQ-PRODAT; BGM=Z05; fält223=Z24; CONTRL och tillämplig APERAK.; Återställ rätt avslutsbeslut efter kontroll; skapa inte duplicerad leveransperiod.</x:v>
      </x:c>
      <x:c r="F210" s="19" t="str">
        <x:v>Fel roll, fel riktning, saknade R/D-fält, felaktig korrelation eller mutation ska inte verkställas.</x:v>
      </x:c>
      <x:c r="G210" s="19" t="str">
        <x:v>TEN-05; P-01; ENV-06</x:v>
      </x:c>
      <x:c r="H210" s="19" t="str">
        <x:v>Planerat meddelande-/rollprov</x:v>
      </x:c>
      <x:c r="I210" s="19" t="str">
        <x:v>Inte körd mot systemet</x:v>
      </x:c>
      <x:c r="J210" s="19" t="str"/>
    </x:row>
    <x:row r="211" ht="36.599998474121094" customHeight="1">
      <x:c r="A211" s="19" t="str">
        <x:v>AT-Z04A-SUPPLIER</x:v>
      </x:c>
      <x:c r="B211" s="19" t="str">
        <x:v>Meddelandefall Z04A</x:v>
      </x:c>
      <x:c r="C211" s="19" t="str">
        <x:v>SUPPLIER; Dokumenterad anvisningsöverenskommelse i rätt nätområde; kräver inte egen Z03.</x:v>
      </x:c>
      <x:c r="D211" s="19" t="str">
        <x:v>Nätägarens anvisning när aktören är behörig anvisad leverantör.</x:v>
      </x:c>
      <x:c r="E211" s="19" t="str">
        <x:v>23-DDQ-PRODAT; BGM=Z04; fält223=Z26; CONTRL och tillämplig APERAK.; Registrera anvisningsprocess och korrekt start.</x:v>
      </x:c>
      <x:c r="F211" s="19" t="str">
        <x:v>Fel roll, fel riktning, saknade R/D-fält, felaktig korrelation eller mutation ska inte verkställas.</x:v>
      </x:c>
      <x:c r="G211" s="19" t="str">
        <x:v>TEN-05; P-01; ENV-06</x:v>
      </x:c>
      <x:c r="H211" s="19" t="str">
        <x:v>Planerat meddelande-/rollprov</x:v>
      </x:c>
      <x:c r="I211" s="19" t="str">
        <x:v>Inte körd mot systemet</x:v>
      </x:c>
      <x:c r="J211" s="19" t="str"/>
    </x:row>
    <x:row r="212" ht="50.400001525878906" customHeight="1">
      <x:c r="A212" s="19" t="str">
        <x:v>AT-Z04D-SUPPLIER</x:v>
      </x:c>
      <x:c r="B212" s="19" t="str">
        <x:v>Meddelandefall Z04D</x:v>
      </x:c>
      <x:c r="C212" s="19" t="str">
        <x:v>SUPPLIER; Inte bara mikroproduktion; inte generell Z03-guard eller konsumentaktivering.</x:v>
      </x:c>
      <x:c r="D212" s="19" t="str">
        <x:v>Mottagningsplikt för produktion enligt tillämpligt produktionsförlopp.</x:v>
      </x:c>
      <x:c r="E212" s="19" t="str">
        <x:v>23-DDQ-PRODAT; BGM=Z04; fält223=Z70; CONTRL och tillämplig APERAK.; Skapa separat produktions-/mottagningsrelation, knyt till förbrukningsobjekt via319.</x:v>
      </x:c>
      <x:c r="F212" s="19" t="str">
        <x:v>Fel roll, fel riktning, saknade R/D-fält, felaktig korrelation eller mutation ska inte verkställas.</x:v>
      </x:c>
      <x:c r="G212" s="19" t="str">
        <x:v>TEN-05; P-01; ENV-06</x:v>
      </x:c>
      <x:c r="H212" s="19" t="str">
        <x:v>Planerat meddelande-/rollprov</x:v>
      </x:c>
      <x:c r="I212" s="19" t="str">
        <x:v>Inte körd mot systemet</x:v>
      </x:c>
      <x:c r="J212" s="19" t="str"/>
    </x:row>
    <x:row r="213" ht="50.400001525878906" customHeight="1">
      <x:c r="A213" s="19" t="str">
        <x:v>AT-Z03H-SUPPLIER</x:v>
      </x:c>
      <x:c r="B213" s="19" t="str">
        <x:v>Meddelandefall Z03H</x:v>
      </x:c>
      <x:c r="C213" s="19" t="str">
        <x:v>SUPPLIER; Känd kod ≠ generell produktionsbehörighet; konkret avtal och exakta fält/timers krävs.</x:v>
      </x:c>
      <x:c r="D213" s="19" t="str">
        <x:v>Särskilt avtalad användning av ospecificerad/hävningsanknuten transaktion.</x:v>
      </x:c>
      <x:c r="E213" s="19" t="str">
        <x:v>23-DDQ-PRODAT; BGM=Z03; fält223=Z25; Kvittens och affärsförlopp enligt uttrycklig bilateral process.; Ingen automatisk standardeffekt utan fastställd bilateral transitionsprofil.</x:v>
      </x:c>
      <x:c r="F213" s="19" t="str">
        <x:v>Fel roll, fel riktning, saknade R/D-fält, felaktig korrelation eller mutation ska inte verkställas.</x:v>
      </x:c>
      <x:c r="G213" s="19" t="str">
        <x:v>TEN-05; P-01; ENV-06</x:v>
      </x:c>
      <x:c r="H213" s="19" t="str">
        <x:v>Planerat meddelande-/rollprov</x:v>
      </x:c>
      <x:c r="I213" s="19" t="str">
        <x:v>Inte körd mot systemet</x:v>
      </x:c>
      <x:c r="J213" s="19" t="str"/>
    </x:row>
    <x:row r="214" ht="50.400001525878906" customHeight="1">
      <x:c r="A214" s="19" t="str">
        <x:v>AT-Z04H-SUPPLIER</x:v>
      </x:c>
      <x:c r="B214" s="19" t="str">
        <x:v>Meddelandefall Z04H</x:v>
      </x:c>
      <x:c r="C214" s="19" t="str">
        <x:v>SUPPLIER; Känd kod ≠ generell produktionsbehörighet; konkret avtal och exakta fält/timers krävs.</x:v>
      </x:c>
      <x:c r="D214" s="19" t="str">
        <x:v>Särskilt avtalad användning av ospecificerad/hävningsanknuten transaktion.</x:v>
      </x:c>
      <x:c r="E214" s="19" t="str">
        <x:v>23-DDQ-PRODAT; BGM=Z04; fält223=Z25; Kvittens och affärsförlopp enligt uttrycklig bilateral process.; Ingen automatisk standardeffekt utan fastställd bilateral transitionsprofil.</x:v>
      </x:c>
      <x:c r="F214" s="19" t="str">
        <x:v>Fel roll, fel riktning, saknade R/D-fält, felaktig korrelation eller mutation ska inte verkställas.</x:v>
      </x:c>
      <x:c r="G214" s="19" t="str">
        <x:v>TEN-05; P-01; ENV-06</x:v>
      </x:c>
      <x:c r="H214" s="19" t="str">
        <x:v>Planerat meddelande-/rollprov</x:v>
      </x:c>
      <x:c r="I214" s="19" t="str">
        <x:v>Inte körd mot systemet</x:v>
      </x:c>
      <x:c r="J214" s="19" t="str"/>
    </x:row>
    <x:row r="215" ht="50.400001525878906" customHeight="1">
      <x:c r="A215" s="19" t="str">
        <x:v>AT-Z05H-SUPPLIER</x:v>
      </x:c>
      <x:c r="B215" s="19" t="str">
        <x:v>Meddelandefall Z05H</x:v>
      </x:c>
      <x:c r="C215" s="19" t="str">
        <x:v>SUPPLIER; Känd kod ≠ generell produktionsbehörighet; konkret avtal och exakta fält/timers krävs.</x:v>
      </x:c>
      <x:c r="D215" s="19" t="str">
        <x:v>Särskilt avtalad användning av ospecificerad/hävningsanknuten transaktion.</x:v>
      </x:c>
      <x:c r="E215" s="19" t="str">
        <x:v>23-DDQ-PRODAT; BGM=Z05; fält223=Z25; Kvittens och affärsförlopp enligt uttrycklig bilateral process.; Ingen automatisk standardeffekt utan fastställd bilateral transitionsprofil.</x:v>
      </x:c>
      <x:c r="F215" s="19" t="str">
        <x:v>Fel roll, fel riktning, saknade R/D-fält, felaktig korrelation eller mutation ska inte verkställas.</x:v>
      </x:c>
      <x:c r="G215" s="19" t="str">
        <x:v>TEN-05; P-01; ENV-06</x:v>
      </x:c>
      <x:c r="H215" s="19" t="str">
        <x:v>Planerat meddelande-/rollprov</x:v>
      </x:c>
      <x:c r="I215" s="19" t="str">
        <x:v>Inte körd mot systemet</x:v>
      </x:c>
      <x:c r="J215" s="19" t="str"/>
    </x:row>
    <x:row r="216" ht="50.400001525878906" customHeight="1">
      <x:c r="A216" s="19" t="str">
        <x:v>AT-Z08H-SUPPLIER</x:v>
      </x:c>
      <x:c r="B216" s="19" t="str">
        <x:v>Meddelandefall Z08H</x:v>
      </x:c>
      <x:c r="C216" s="19" t="str">
        <x:v>SUPPLIER; Juridiska förutsättningar för hävning måste vara dokumenterade; ingen automatisk hävning enbart vid betalningsflagga.</x:v>
      </x:c>
      <x:c r="D216" s="19" t="str">
        <x:v>Behörigt avslut/hävning av elhandelsavtal.</x:v>
      </x:c>
      <x:c r="E216" s="19" t="str">
        <x:v>23-DDQ-PRODAT; BGM=Z08; fält223=Z25; CONTRL, APERAK och relevant Z05L enligt förlopp.; Bevakad avslutsbegäran och kontrollerat leveransslut.</x:v>
      </x:c>
      <x:c r="F216" s="19" t="str">
        <x:v>Fel roll, fel riktning, saknade R/D-fält, felaktig korrelation eller mutation ska inte verkställas.</x:v>
      </x:c>
      <x:c r="G216" s="19" t="str">
        <x:v>TEN-05; P-01; ENV-06</x:v>
      </x:c>
      <x:c r="H216" s="19" t="str">
        <x:v>Planerat meddelande-/rollprov</x:v>
      </x:c>
      <x:c r="I216" s="19" t="str">
        <x:v>Inte körd mot systemet</x:v>
      </x:c>
      <x:c r="J216" s="19" t="str"/>
    </x:row>
    <x:row r="217" ht="36.599998474121094" customHeight="1">
      <x:c r="A217" s="19" t="str">
        <x:v>AT-Z08LK-SUPPLIER</x:v>
      </x:c>
      <x:c r="B217" s="19" t="str">
        <x:v>Meddelandefall Z08LK</x:v>
      </x:c>
      <x:c r="C217" s="19" t="str">
        <x:v>SUPPLIER; Inte universell ersättning för Z03LK.</x:v>
      </x:c>
      <x:c r="D217" s="19" t="str">
        <x:v>Bilateral användning för kund-/leverantörsbyte.</x:v>
      </x:c>
      <x:c r="E217" s="19" t="str">
        <x:v>23-DDQ-PRODAT; BGM=Z08; fält223=Z23; Svar enligt uttryckligt avtal.; Bara den överenskomna avsluts-/flyttprocessen.</x:v>
      </x:c>
      <x:c r="F217" s="19" t="str">
        <x:v>Fel roll, fel riktning, saknade R/D-fält, felaktig korrelation eller mutation ska inte verkställas.</x:v>
      </x:c>
      <x:c r="G217" s="19" t="str">
        <x:v>TEN-05; P-01; ENV-06</x:v>
      </x:c>
      <x:c r="H217" s="19" t="str">
        <x:v>Planerat meddelande-/rollprov</x:v>
      </x:c>
      <x:c r="I217" s="19" t="str">
        <x:v>Inte körd mot systemet</x:v>
      </x:c>
      <x:c r="J217" s="19" t="str"/>
    </x:row>
    <x:row r="218" ht="64.19999694824219" customHeight="1">
      <x:c r="A218" s="19" t="str">
        <x:v>AT-Z06E-SUPPLIER</x:v>
      </x:c>
      <x:c r="B218" s="19" t="str">
        <x:v>Meddelandefall Z06E</x:v>
      </x:c>
      <x:c r="C218" s="19" t="str">
        <x:v>SUPPLIER; Z06E utanför fastställd standardlivshändelse kräver bilateral grund. Z06F/G får inte skriva kundidentitet från förbjuden NAD+UD.</x:v>
      </x:c>
      <x:c r="D218" s="19" t="str">
        <x:v>Nätägarens kund-/anläggningsuppdatering.</x:v>
      </x:c>
      <x:c r="E218" s="19" t="str">
        <x:v>23-DDQ-PRODAT; BGM=Z06; fält223=E34; CONTRL och APERAK enligt guide; ytterligare UTILTS för F enligt ändring och Handbok.; Uppdatera tillåtna kunduppgifter i rätt livshändelse; dödsfalls- och konkursärenden separata.</x:v>
      </x:c>
      <x:c r="F218" s="19" t="str">
        <x:v>Fel roll, fel riktning, saknade R/D-fält, felaktig korrelation eller mutation ska inte verkställas.</x:v>
      </x:c>
      <x:c r="G218" s="19" t="str">
        <x:v>TEN-05; P-01; ENV-06</x:v>
      </x:c>
      <x:c r="H218" s="19" t="str">
        <x:v>Planerat meddelande-/rollprov</x:v>
      </x:c>
      <x:c r="I218" s="19" t="str">
        <x:v>Inte körd mot systemet</x:v>
      </x:c>
      <x:c r="J218" s="19" t="str"/>
    </x:row>
    <x:row r="219" ht="64.19999694824219" customHeight="1">
      <x:c r="A219" s="19" t="str">
        <x:v>AT-Z09E-SUPPLIER</x:v>
      </x:c>
      <x:c r="B219" s="19" t="str">
        <x:v>Meddelandefall Z09E</x:v>
      </x:c>
      <x:c r="C219" s="19" t="str">
        <x:v>SUPPLIER; Z09E har NAD+UD; Z09F/G använder respektive217 Z04/Z03 och giltighetsdatum157; inte automatiskt kundbyte.</x:v>
      </x:c>
      <x:c r="D219" s="19" t="str">
        <x:v>Anmäl rätt kundlivshändelse/överenskommen uppgiftsändring.</x:v>
      </x:c>
      <x:c r="E219" s="19" t="str">
        <x:v>23-DDQ-PRODAT; BGM=Z09; fält223=E34; CONTRL, APERAK och enligt processen senare Z06; inget påhittat direkt affärssvar.; Registrera önskad förändring; mottagen bekräftad struktur har egen versionshantering.</x:v>
      </x:c>
      <x:c r="F219" s="19" t="str">
        <x:v>Fel roll, fel riktning, saknade R/D-fält, felaktig korrelation eller mutation ska inte verkställas.</x:v>
      </x:c>
      <x:c r="G219" s="19" t="str">
        <x:v>TEN-05; P-01; ENV-06</x:v>
      </x:c>
      <x:c r="H219" s="19" t="str">
        <x:v>Planerat meddelande-/rollprov</x:v>
      </x:c>
      <x:c r="I219" s="19" t="str">
        <x:v>Inte körd mot systemet</x:v>
      </x:c>
      <x:c r="J219" s="19" t="str"/>
    </x:row>
    <x:row r="220" ht="64.19999694824219" customHeight="1">
      <x:c r="A220" s="19" t="str">
        <x:v>AT-Z06F-SUPPLIER</x:v>
      </x:c>
      <x:c r="B220" s="19" t="str">
        <x:v>Meddelandefall Z06F</x:v>
      </x:c>
      <x:c r="C220" s="19" t="str">
        <x:v>SUPPLIER; Z06E utanför fastställd standardlivshändelse kräver bilateral grund. Z06F/G får inte skriva kundidentitet från förbjuden NAD+UD.</x:v>
      </x:c>
      <x:c r="D220" s="19" t="str">
        <x:v>Nätägarens kund-/anläggningsuppdatering.</x:v>
      </x:c>
      <x:c r="E220" s="19" t="str">
        <x:v>23-DDQ-PRODAT; BGM=Z06; fält223=E64; CONTRL och APERAK enligt guide; ytterligare UTILTS för F enligt ändring och Handbok.; Versionera struktur och avläsningsutlösande ändring; kontrollera berörda mätvärdesförväntningar.</x:v>
      </x:c>
      <x:c r="F220" s="19" t="str">
        <x:v>Fel roll, fel riktning, saknade R/D-fält, felaktig korrelation eller mutation ska inte verkställas.</x:v>
      </x:c>
      <x:c r="G220" s="19" t="str">
        <x:v>TEN-05; P-01; ENV-06</x:v>
      </x:c>
      <x:c r="H220" s="19" t="str">
        <x:v>Planerat meddelande-/rollprov</x:v>
      </x:c>
      <x:c r="I220" s="19" t="str">
        <x:v>Inte körd mot systemet</x:v>
      </x:c>
      <x:c r="J220" s="19" t="str"/>
    </x:row>
    <x:row r="221" ht="64.19999694824219" customHeight="1">
      <x:c r="A221" s="19" t="str">
        <x:v>AT-Z09F-SUPPLIER</x:v>
      </x:c>
      <x:c r="B221" s="19" t="str">
        <x:v>Meddelandefall Z09F</x:v>
      </x:c>
      <x:c r="C221" s="19" t="str">
        <x:v>SUPPLIER; Z09E har NAD+UD; Z09F/G använder respektive217 Z04/Z03 och giltighetsdatum157; inte automatiskt kundbyte.</x:v>
      </x:c>
      <x:c r="D221" s="19" t="str">
        <x:v>Begär kvartsmätning enligt kundavtal.</x:v>
      </x:c>
      <x:c r="E221" s="19" t="str">
        <x:v>23-DDQ-PRODAT; BGM=Z09; fält223=E64; CONTRL, APERAK och enligt processen senare Z06; inget påhittat direkt affärssvar.; Registrera önskad förändring; mottagen bekräftad struktur har egen versionshantering.</x:v>
      </x:c>
      <x:c r="F221" s="19" t="str">
        <x:v>Fel roll, fel riktning, saknade R/D-fält, felaktig korrelation eller mutation ska inte verkställas.</x:v>
      </x:c>
      <x:c r="G221" s="19" t="str">
        <x:v>TEN-05; P-01; ENV-06</x:v>
      </x:c>
      <x:c r="H221" s="19" t="str">
        <x:v>Planerat meddelande-/rollprov</x:v>
      </x:c>
      <x:c r="I221" s="19" t="str">
        <x:v>Inte körd mot systemet</x:v>
      </x:c>
      <x:c r="J221" s="19" t="str"/>
    </x:row>
    <x:row r="222" ht="50.400001525878906" customHeight="1">
      <x:c r="A222" s="19" t="str">
        <x:v>AT-Z06G-SUPPLIER</x:v>
      </x:c>
      <x:c r="B222" s="19" t="str">
        <x:v>Meddelandefall Z06G</x:v>
      </x:c>
      <x:c r="C222" s="19" t="str">
        <x:v>SUPPLIER; Z06E utanför fastställd standardlivshändelse kräver bilateral grund. Z06F/G får inte skriva kundidentitet från förbjuden NAD+UD.</x:v>
      </x:c>
      <x:c r="D222" s="19" t="str">
        <x:v>Nätägarens kund-/anläggningsuppdatering.</x:v>
      </x:c>
      <x:c r="E222" s="19" t="str">
        <x:v>23-DDQ-PRODAT; BGM=Z06; fält223=E32; CONTRL och APERAK enligt guide; ytterligare UTILTS för F enligt ändring och Handbok.; Versionera ändrad struktur utan att påhittad avläsning krävs.</x:v>
      </x:c>
      <x:c r="F222" s="19" t="str">
        <x:v>Fel roll, fel riktning, saknade R/D-fält, felaktig korrelation eller mutation ska inte verkställas.</x:v>
      </x:c>
      <x:c r="G222" s="19" t="str">
        <x:v>TEN-05; P-01; ENV-06</x:v>
      </x:c>
      <x:c r="H222" s="19" t="str">
        <x:v>Planerat meddelande-/rollprov</x:v>
      </x:c>
      <x:c r="I222" s="19" t="str">
        <x:v>Inte körd mot systemet</x:v>
      </x:c>
      <x:c r="J222" s="19" t="str"/>
    </x:row>
    <x:row r="223" ht="64.19999694824219" customHeight="1">
      <x:c r="A223" s="19" t="str">
        <x:v>AT-Z09G-SUPPLIER</x:v>
      </x:c>
      <x:c r="B223" s="19" t="str">
        <x:v>Meddelandefall Z09G</x:v>
      </x:c>
      <x:c r="C223" s="19" t="str">
        <x:v>SUPPLIER; Z09E har NAD+UD; Z09F/G använder respektive217 Z04/Z03 och giltighetsdatum157; inte automatiskt kundbyte.</x:v>
      </x:c>
      <x:c r="D223" s="19" t="str">
        <x:v>Informera att nätägaren ska avgöra mätmetoden enligt ändrat avtal.</x:v>
      </x:c>
      <x:c r="E223" s="19" t="str">
        <x:v>23-DDQ-PRODAT; BGM=Z09; fält223=E32; CONTRL, APERAK och enligt processen senare Z06; inget påhittat direkt affärssvar.; Registrera önskad förändring; mottagen bekräftad struktur har egen versionshantering.</x:v>
      </x:c>
      <x:c r="F223" s="19" t="str">
        <x:v>Fel roll, fel riktning, saknade R/D-fält, felaktig korrelation eller mutation ska inte verkställas.</x:v>
      </x:c>
      <x:c r="G223" s="19" t="str">
        <x:v>TEN-05; P-01; ENV-06</x:v>
      </x:c>
      <x:c r="H223" s="19" t="str">
        <x:v>Planerat meddelande-/rollprov</x:v>
      </x:c>
      <x:c r="I223" s="19" t="str">
        <x:v>Inte körd mot systemet</x:v>
      </x:c>
      <x:c r="J223" s="19" t="str"/>
    </x:row>
    <x:row r="224" ht="50.400001525878906" customHeight="1">
      <x:c r="A224" s="19" t="str">
        <x:v>AT-Z09B-SUPPLIER</x:v>
      </x:c>
      <x:c r="B224" s="19" t="str">
        <x:v>Meddelandefall Z09B</x:v>
      </x:c>
      <x:c r="C224" s="19" t="str">
        <x:v>SUPPLIER; Senast en kalendermånad före; rätt aktör/område/avtal; AI-lista ersätter inte Z09B.</x:v>
      </x:c>
      <x:c r="D224" s="19" t="str">
        <x:v>Byte av balansansvarig för berörda leveransrelationer.</x:v>
      </x:c>
      <x:c r="E224" s="19" t="str">
        <x:v>23-DDQ-PRODAT; BGM=Z09; fält223=Z27; CONTRL och APERAK; uppdatering enligt BRP-förloppet.; Versionera BRP-ansvar vid datumet, inte tenantglobal överlagring av historiken.</x:v>
      </x:c>
      <x:c r="F224" s="19" t="str">
        <x:v>Fel roll, fel riktning, saknade R/D-fält, felaktig korrelation eller mutation ska inte verkställas.</x:v>
      </x:c>
      <x:c r="G224" s="19" t="str">
        <x:v>TEN-05; P-01; ENV-06</x:v>
      </x:c>
      <x:c r="H224" s="19" t="str">
        <x:v>Planerat meddelande-/rollprov</x:v>
      </x:c>
      <x:c r="I224" s="19" t="str">
        <x:v>Inte körd mot systemet</x:v>
      </x:c>
      <x:c r="J224" s="19" t="str"/>
    </x:row>
    <x:row r="225" ht="50.400001525878906" customHeight="1">
      <x:c r="A225" s="19" t="str">
        <x:v>AT-Z09D-SUPPLIER</x:v>
      </x:c>
      <x:c r="B225" s="19" t="str">
        <x:v>Meddelandefall Z09D</x:v>
      </x:c>
      <x:c r="C225" s="19" t="str">
        <x:v>SUPPLIER; 210 XOR 211, aldrig DTM157 som ersättning; inte NAD+UD på Z09D.</x:v>
      </x:c>
      <x:c r="D225" s="19" t="str">
        <x:v>Produktionsavtal tecknas eller upphör.</x:v>
      </x:c>
      <x:c r="E225" s="19" t="str">
        <x:v>23-DDQ-PRODAT; BGM=Z09; fält223=Z70; CONTRL och APERAK; eventuella efterföljande mottagningspliktsförlopp separat.; Starta/avsluta rätt produktionsavtal.</x:v>
      </x:c>
      <x:c r="F225" s="19" t="str">
        <x:v>Fel roll, fel riktning, saknade R/D-fält, felaktig korrelation eller mutation ska inte verkställas.</x:v>
      </x:c>
      <x:c r="G225" s="19" t="str">
        <x:v>TEN-05; P-01; ENV-06</x:v>
      </x:c>
      <x:c r="H225" s="19" t="str">
        <x:v>Planerat meddelande-/rollprov</x:v>
      </x:c>
      <x:c r="I225" s="19" t="str">
        <x:v>Inte körd mot systemet</x:v>
      </x:c>
      <x:c r="J225" s="19" t="str"/>
    </x:row>
    <x:row r="226" ht="50.400001525878906" customHeight="1">
      <x:c r="A226" s="19" t="str">
        <x:v>AT-Z10M-SUPPLIER</x:v>
      </x:c>
      <x:c r="B226" s="19" t="str">
        <x:v>Meddelandefall Z10M</x:v>
      </x:c>
      <x:c r="C226" s="19" t="str">
        <x:v>SUPPLIER; Gamla/nya mätarnummer olika; flerregisteroverlay; tio vardagar som sändningsfrist för nätägaren.</x:v>
      </x:c>
      <x:c r="D226" s="19" t="str">
        <x:v>Nätägarens mätarbyte.</x:v>
      </x:c>
      <x:c r="E226" s="19" t="str">
        <x:v>23-DDQ-PRODAT; BGM=Z10; fält223=E58; CONTRL och APERAK; avläsningar/energier via relevanta UTILTS-transaktioner.; Versionera ny/gammal mätare/register och gränstid, bevara tidigare mätvärden.</x:v>
      </x:c>
      <x:c r="F226" s="19" t="str">
        <x:v>Fel roll, fel riktning, saknade R/D-fält, felaktig korrelation eller mutation ska inte verkställas.</x:v>
      </x:c>
      <x:c r="G226" s="19" t="str">
        <x:v>TEN-05; P-01; ENV-06</x:v>
      </x:c>
      <x:c r="H226" s="19" t="str">
        <x:v>Planerat meddelande-/rollprov</x:v>
      </x:c>
      <x:c r="I226" s="19" t="str">
        <x:v>Inte körd mot systemet</x:v>
      </x:c>
      <x:c r="J226" s="19" t="str"/>
    </x:row>
    <x:row r="227" ht="50.400001525878906" customHeight="1">
      <x:c r="A227" s="19" t="str">
        <x:v>AT-Z13V-ESCO</x:v>
      </x:c>
      <x:c r="B227" s="19" t="str">
        <x:v>Meddelandefall Z13V</x:v>
      </x:c>
      <x:c r="C227" s="19" t="str">
        <x:v>ESCO; Kundidentitet ej födelsedatum; Z13 behöver inte anläggnings-id men LIN+1 finns; scope/roll/avtal/beneficiary separat.</x:v>
      </x:c>
      <x:c r="D227" s="19" t="str">
        <x:v>Avtal med slutkund och DSO finns; begär fortlöpande rapportering.</x:v>
      </x:c>
      <x:c r="E227" s="19" t="str">
        <x:v>23-DGI-PRODAT; BGM=Z13; fält223=S17; CONTRL, APERAK för begäran; därefter Z14 eller Z14N.; Skapa begäran och objektrelaterade rättigheter först efter positivt Z14; inte elleverans.</x:v>
      </x:c>
      <x:c r="F227" s="19" t="str">
        <x:v>Fel roll, fel riktning, saknade R/D-fält, felaktig korrelation eller mutation ska inte verkställas.</x:v>
      </x:c>
      <x:c r="G227" s="19" t="str">
        <x:v>TEN-05; P-01; ENV-06</x:v>
      </x:c>
      <x:c r="H227" s="19" t="str">
        <x:v>Planerat meddelande-/rollprov</x:v>
      </x:c>
      <x:c r="I227" s="19" t="str">
        <x:v>Inte körd mot systemet</x:v>
      </x:c>
      <x:c r="J227" s="19" t="str"/>
    </x:row>
    <x:row r="228" ht="64.19999694824219" customHeight="1">
      <x:c r="A228" s="19" t="str">
        <x:v>AT-Z14V-ESCO</x:v>
      </x:c>
      <x:c r="B228" s="19" t="str">
        <x:v>Meddelandefall Z14V</x:v>
      </x:c>
      <x:c r="C228" s="19" t="str">
        <x:v>ESCO; A74; tillstånds-id; rättLI; ej bredda kund-/tids-/produktomfattning från antaganden. Förvänta inte Z04.</x:v>
      </x:c>
      <x:c r="D228" s="19" t="str">
        <x:v>DSO godkänner tillgång för angivna godkända anläggningar.</x:v>
      </x:c>
      <x:c r="E228" s="19" t="str">
        <x:v>23-DGI-PRODAT; BGM=Z14; fält223=S17; CONTRL och APERAK; E66 enligt bekräftade villkor och vid historik slut viaZ15VH.; Skapa/versionera market_permission och objektscope; projektionsåtkomst bara till uttryckligen berättigade tenants.</x:v>
      </x:c>
      <x:c r="F228" s="19" t="str">
        <x:v>Fel roll, fel riktning, saknade R/D-fält, felaktig korrelation eller mutation ska inte verkställas.</x:v>
      </x:c>
      <x:c r="G228" s="19" t="str">
        <x:v>TEN-05; P-01; ENV-06</x:v>
      </x:c>
      <x:c r="H228" s="19" t="str">
        <x:v>Planerat meddelande-/rollprov</x:v>
      </x:c>
      <x:c r="I228" s="19" t="str">
        <x:v>Inte körd mot systemet</x:v>
      </x:c>
      <x:c r="J228" s="19" t="str"/>
    </x:row>
    <x:row r="229" ht="50.400001525878906" customHeight="1">
      <x:c r="A229" s="19" t="str">
        <x:v>AT-Z15V-ESCO</x:v>
      </x:c>
      <x:c r="B229" s="19" t="str">
        <x:v>Meddelandefall Z15V</x:v>
      </x:c>
      <x:c r="C229" s="19" t="str">
        <x:v>ESCO; Datum164, idZ09, status/orsak; får inte avsluta annan tenant eller DDQ-leverans.</x:v>
      </x:c>
      <x:c r="D229" s="19" t="str">
        <x:v>Fortlöpande tillstånd upphör.</x:v>
      </x:c>
      <x:c r="E229" s="19" t="str">
        <x:v>23-DGI-PRODAT; BGM=Z15; fält223=S17; CONTRL och APERAK; inget nytt automatiskt Z13.; Avsluta rätt rapporterings-/tillståndsförlopp; VH slutför historikjobbet, inte separat V-tillstånd.</x:v>
      </x:c>
      <x:c r="F229" s="19" t="str">
        <x:v>Fel roll, fel riktning, saknade R/D-fält, felaktig korrelation eller mutation ska inte verkställas.</x:v>
      </x:c>
      <x:c r="G229" s="19" t="str">
        <x:v>TEN-05; P-01; ENV-06</x:v>
      </x:c>
      <x:c r="H229" s="19" t="str">
        <x:v>Planerat meddelande-/rollprov</x:v>
      </x:c>
      <x:c r="I229" s="19" t="str">
        <x:v>Inte körd mot systemet</x:v>
      </x:c>
      <x:c r="J229" s="19" t="str"/>
    </x:row>
    <x:row r="230" ht="50.400001525878906" customHeight="1">
      <x:c r="A230" s="19" t="str">
        <x:v>AT-Z13VH-ESCO</x:v>
      </x:c>
      <x:c r="B230" s="19" t="str">
        <x:v>Meddelandefall Z13VH</x:v>
      </x:c>
      <x:c r="C230" s="19" t="str">
        <x:v>ESCO; Kundidentitet ej födelsedatum; Z13 behöver inte anläggnings-id men LIN+1 finns; scope/roll/avtal/beneficiary separat.</x:v>
      </x:c>
      <x:c r="D230" s="19" t="str">
        <x:v>Avtal med slutkund och DSO finns; begär avgränsad historik.</x:v>
      </x:c>
      <x:c r="E230" s="19" t="str">
        <x:v>23-DGI-PRODAT; BGM=Z13; fält223=S18; CONTRL, APERAK för begäran; därefter Z14 eller Z14N.; Skapa begäran och objektrelaterade rättigheter först efter positivt Z14; inte elleverans.</x:v>
      </x:c>
      <x:c r="F230" s="19" t="str">
        <x:v>Fel roll, fel riktning, saknade R/D-fält, felaktig korrelation eller mutation ska inte verkställas.</x:v>
      </x:c>
      <x:c r="G230" s="19" t="str">
        <x:v>TEN-05; P-01; ENV-06</x:v>
      </x:c>
      <x:c r="H230" s="19" t="str">
        <x:v>Planerat meddelande-/rollprov</x:v>
      </x:c>
      <x:c r="I230" s="19" t="str">
        <x:v>Inte körd mot systemet</x:v>
      </x:c>
      <x:c r="J230" s="19" t="str"/>
    </x:row>
    <x:row r="231" ht="64.19999694824219" customHeight="1">
      <x:c r="A231" s="19" t="str">
        <x:v>AT-Z14VH-ESCO</x:v>
      </x:c>
      <x:c r="B231" s="19" t="str">
        <x:v>Meddelandefall Z14VH</x:v>
      </x:c>
      <x:c r="C231" s="19" t="str">
        <x:v>ESCO; A74; tillstånds-id; rättLI; ej bredda kund-/tids-/produktomfattning från antaganden. Förvänta inte Z04.</x:v>
      </x:c>
      <x:c r="D231" s="19" t="str">
        <x:v>DSO godkänner tillgång för angivna godkända anläggningar.</x:v>
      </x:c>
      <x:c r="E231" s="19" t="str">
        <x:v>23-DGI-PRODAT; BGM=Z14; fält223=S18; CONTRL och APERAK; E66 enligt bekräftade villkor och vid historik slut viaZ15VH.; Skapa/versionera market_permission och objektscope; projektionsåtkomst bara till uttryckligen berättigade tenants.</x:v>
      </x:c>
      <x:c r="F231" s="19" t="str">
        <x:v>Fel roll, fel riktning, saknade R/D-fält, felaktig korrelation eller mutation ska inte verkställas.</x:v>
      </x:c>
      <x:c r="G231" s="19" t="str">
        <x:v>TEN-05; P-01; ENV-06</x:v>
      </x:c>
      <x:c r="H231" s="19" t="str">
        <x:v>Planerat meddelande-/rollprov</x:v>
      </x:c>
      <x:c r="I231" s="19" t="str">
        <x:v>Inte körd mot systemet</x:v>
      </x:c>
      <x:c r="J231" s="19" t="str"/>
    </x:row>
    <x:row r="232" ht="50.400001525878906" customHeight="1">
      <x:c r="A232" s="19" t="str">
        <x:v>AT-Z15VH-ESCO</x:v>
      </x:c>
      <x:c r="B232" s="19" t="str">
        <x:v>Meddelandefall Z15VH</x:v>
      </x:c>
      <x:c r="C232" s="19" t="str">
        <x:v>ESCO; Datum164, idZ09, status/orsak; får inte avsluta annan tenant eller DDQ-leverans.</x:v>
      </x:c>
      <x:c r="D232" s="19" t="str">
        <x:v>Historikleveransen har avslutats.</x:v>
      </x:c>
      <x:c r="E232" s="19" t="str">
        <x:v>23-DGI-PRODAT; BGM=Z15; fält223=S18; CONTRL och APERAK; inget nytt automatiskt Z13.; Avsluta rätt rapporterings-/tillståndsförlopp; VH slutför historikjobbet, inte separat V-tillstånd.</x:v>
      </x:c>
      <x:c r="F232" s="19" t="str">
        <x:v>Fel roll, fel riktning, saknade R/D-fält, felaktig korrelation eller mutation ska inte verkställas.</x:v>
      </x:c>
      <x:c r="G232" s="19" t="str">
        <x:v>TEN-05; P-01; ENV-06</x:v>
      </x:c>
      <x:c r="H232" s="19" t="str">
        <x:v>Planerat meddelande-/rollprov</x:v>
      </x:c>
      <x:c r="I232" s="19" t="str">
        <x:v>Inte körd mot systemet</x:v>
      </x:c>
      <x:c r="J232" s="19" t="str"/>
    </x:row>
    <x:row r="233" ht="50.400001525878906" customHeight="1">
      <x:c r="A233" s="19" t="str">
        <x:v>AT-Z14N-ESCO</x:v>
      </x:c>
      <x:c r="B233" s="19" t="str">
        <x:v>Meddelandefall Z14N</x:v>
      </x:c>
      <x:c r="C233" s="19" t="str">
        <x:v>ESCO; A13 aktivt nekat; A76 passivt nekat; många positiva-Z14-fält ska utelämnas. Förväxla inte negativt affärssvar med syntaktiskt fel.</x:v>
      </x:c>
      <x:c r="D233" s="19" t="str">
        <x:v>Aktivt eller passivt nekat tillstånd.</x:v>
      </x:c>
      <x:c r="E233" s="19" t="str">
        <x:v>23-DGI-PRODAT; BGM=Z14; fält223=Z96; CONTRL och APERAK på själva Z14N om korrekt; ingen datarapportering.; Neka berörd begäran; lägg ingen market_permission för åtkomst.</x:v>
      </x:c>
      <x:c r="F233" s="19" t="str">
        <x:v>Fel roll, fel riktning, saknade R/D-fält, felaktig korrelation eller mutation ska inte verkställas.</x:v>
      </x:c>
      <x:c r="G233" s="19" t="str">
        <x:v>TEN-05; P-01; ENV-06</x:v>
      </x:c>
      <x:c r="H233" s="19" t="str">
        <x:v>Planerat meddelande-/rollprov</x:v>
      </x:c>
      <x:c r="I233" s="19" t="str">
        <x:v>Inte körd mot systemet</x:v>
      </x:c>
      <x:c r="J233" s="19" t="str"/>
    </x:row>
    <x:row r="234" ht="50.400001525878906" customHeight="1">
      <x:c r="A234" s="19" t="str">
        <x:v>AT-Z15C-ESCO</x:v>
      </x:c>
      <x:c r="B234" s="19" t="str">
        <x:v>Meddelandefall Z15C</x:v>
      </x:c>
      <x:c r="C234" s="19" t="str">
        <x:v>ESCO; Status och datum enligt fältspecifikation; kräver inte generell egen Z18.</x:v>
      </x:c>
      <x:c r="D234" s="19" t="str">
        <x:v>Återtag av felaktigt tillståndsupphörande, t.ex. rättad utflytt.</x:v>
      </x:c>
      <x:c r="E234" s="19" t="str">
        <x:v>23-DGI-PRODAT; BGM=Z15; fält223=Z24; CONTRL och APERAK.; Återställ berört market_permission efter rätt korrelation. Återuppliva inte ett separat återkallat tenantåtkomstgrant.</x:v>
      </x:c>
      <x:c r="F234" s="19" t="str">
        <x:v>Fel roll, fel riktning, saknade R/D-fält, felaktig korrelation eller mutation ska inte verkställas.</x:v>
      </x:c>
      <x:c r="G234" s="19" t="str">
        <x:v>TEN-05; P-01; ENV-06</x:v>
      </x:c>
      <x:c r="H234" s="19" t="str">
        <x:v>Planerat meddelande-/rollprov</x:v>
      </x:c>
      <x:c r="I234" s="19" t="str">
        <x:v>Inte körd mot systemet</x:v>
      </x:c>
      <x:c r="J234" s="19" t="str"/>
    </x:row>
    <x:row r="235" ht="50.400001525878906" customHeight="1">
      <x:c r="A235" s="19" t="str">
        <x:v>AT-Z18V-ESCO</x:v>
      </x:c>
      <x:c r="B235" s="19" t="str">
        <x:v>Meddelandefall Z18V</x:v>
      </x:c>
      <x:c r="C235" s="19" t="str">
        <x:v>ESCO; 327/324/325 krävs; beneficiarys UI-avslut av ett deluppdrag ≠ avslut för samtliga tenants.</x:v>
      </x:c>
      <x:c r="D235" s="19" t="str">
        <x:v>Behörig begäran att avsluta rapportering.</x:v>
      </x:c>
      <x:c r="E235" s="19" t="str">
        <x:v>23-DGI-PRODAT; BGM=Z18; fält223=S17; CONTRL, APERAK, tillämplig Z15.; Begär avslut av rätt marknadstillstånd; kontrollera andra giltiga serviceuppdrag innan gemensamt tillstånd sägs upp.</x:v>
      </x:c>
      <x:c r="F235" s="19" t="str">
        <x:v>Fel roll, fel riktning, saknade R/D-fält, felaktig korrelation eller mutation ska inte verkställas.</x:v>
      </x:c>
      <x:c r="G235" s="19" t="str">
        <x:v>TEN-05; P-01; ENV-06</x:v>
      </x:c>
      <x:c r="H235" s="19" t="str">
        <x:v>Planerat meddelande-/rollprov</x:v>
      </x:c>
      <x:c r="I235" s="19" t="str">
        <x:v>Inte körd mot systemet</x:v>
      </x:c>
      <x:c r="J235" s="19" t="str"/>
    </x:row>
  </x:sheetData>
  <x:mergeCells>
    <x:mergeCell ref="A1:J1"/>
    <x:mergeCell ref="A2:J2"/>
  </x:mergeCells>
  <x:conditionalFormatting sqref="I5:I235">
    <x:cfRule type="expression" dxfId="0" priority="1">
      <x:formula>I5="Inte körd mot systemet"</x:formula>
    </x:cfRule>
  </x:conditionalFormatting>
  <x:dataValidations count="1">
    <x:dataValidation type="list" sqref="I5:I235">
      <x:formula1>"Inte körd mot systemet,Pågår,Godkänd med bevis,Underkänd,Ej tillämplig med beslut"</x:formula1>
    </x:dataValidation>
  </x:dataValidations>
  <x:pageMargins left="0.7" right="0.7" top="0.75" bottom="0.75" header="0.3" footer="0.3"/>
  <x:tableParts count="1">
    <x:tablePart xmlns:r="http://schemas.openxmlformats.org/officeDocument/2006/relationships" r:id="R3decfaf2d9094e1d"/>
  </x:tableParts>
</x:worksheet>
</file>

<file path=xl/worksheets/sheet16.xml><?xml version="1.0" encoding="utf-8"?>
<x:worksheet xmlns:x="http://schemas.openxmlformats.org/spreadsheetml/2006/main">
  <x:sheetFormatPr defaultRowHeight="15"/>
  <x:cols>
    <x:col min="1" max="1" width="15" hidden="0" customWidth="1"/>
    <x:col min="2" max="2" width="19" hidden="0" customWidth="1"/>
    <x:col min="3" max="3" width="60" hidden="0" customWidth="1"/>
    <x:col min="4" max="4" width="60" hidden="0" customWidth="1"/>
    <x:col min="5" max="5" width="44" hidden="0" customWidth="1"/>
    <x:col min="6" max="6" width="62" hidden="0" customWidth="1"/>
    <x:col min="7" max="7" width="17" hidden="0" customWidth="1"/>
  </x:cols>
  <x:sheetData>
    <x:row r="1" ht="30" customHeight="1">
      <x:c r="A1" s="3" t="str">
        <x:v>Öppna underlag · Gridex Ediel v2</x:v>
      </x:c>
      <x:c r="B1" s="3"/>
      <x:c r="C1" s="3"/>
      <x:c r="D1" s="3"/>
      <x:c r="E1" s="3"/>
      <x:c r="F1" s="3"/>
      <x:c r="G1" s="3"/>
    </x:row>
    <x:row r="2" ht="34" customHeight="1">
      <x:c r="A2" s="8" t="str">
        <x:v>Sju bevisgrindar. Endast beroende profiler/handlingar begränsas; en öppen grind ska aldrig döljas i ett grönt totalbetyg.</x:v>
      </x:c>
      <x:c r="B2" s="8"/>
      <x:c r="C2" s="8"/>
      <x:c r="D2" s="8"/>
      <x:c r="E2" s="8"/>
      <x:c r="F2" s="8"/>
      <x:c r="G2" s="8"/>
    </x:row>
    <x:row r="4" ht="37" customHeight="1">
      <x:c r="A4" s="14" t="str">
        <x:v>Grind-id</x:v>
      </x:c>
      <x:c r="B4" s="14" t="str">
        <x:v>Typ</x:v>
      </x:c>
      <x:c r="C4" s="14" t="str">
        <x:v>Vad behövs</x:v>
      </x:c>
      <x:c r="D4" s="14" t="str">
        <x:v>Varför</x:v>
      </x:c>
      <x:c r="E4" s="14" t="str">
        <x:v>Blockerar</x:v>
      </x:c>
      <x:c r="F4" s="14" t="str">
        <x:v>Hur den stängs</x:v>
      </x:c>
      <x:c r="G4" s="14" t="str">
        <x:v>Status</x:v>
      </x:c>
    </x:row>
    <x:row r="5" ht="36.599998474121094" customHeight="1">
      <x:c r="A5" s="19" t="str">
        <x:v>G01</x:v>
      </x:c>
      <x:c r="B5" s="19" t="str">
        <x:v>Källa</x:v>
      </x:c>
      <x:c r="C5" s="19" t="str">
        <x:v>Fullständiga UTILTS 25-A-3, inte endast ändringsloggen i 25-A-4</x:v>
      </x:c>
      <x:c r="D5" s="19" t="str">
        <x:v>Behövs för att stänga detaljkontroller före 2026-10-01 och versionsövergångens föregående profil.</x:v>
      </x:c>
      <x:c r="E5" s="19" t="str">
        <x:v>Beroende äldre UTILTS-regelprofil</x:v>
      </x:c>
      <x:c r="F5" s="19" t="str">
        <x:v>Kontrollera publicerat original/hash och jämför samtliga ändrade celler/kontroller.</x:v>
      </x:c>
      <x:c r="G5" s="19" t="str">
        <x:v>Öppen</x:v>
      </x:c>
    </x:row>
    <x:row r="6" ht="36.599998474121094" customHeight="1">
      <x:c r="A6" s="19" t="str">
        <x:v>G02</x:v>
      </x:c>
      <x:c r="B6" s="19" t="str">
        <x:v>Exempel/kodlista</x:v>
      </x:c>
      <x:c r="C6" s="19" t="str">
        <x:v>Separat aggregerad UTILTS-exempelsamling bilaga5–6 och tillämplig komplett tidsserieproduktlista</x:v>
      </x:c>
      <x:c r="D6" s="19" t="str">
        <x:v>Objektexemplen täcker inte hela aggregat-/BRP-omfattningen eller alla framtida produktkomponenter.</x:v>
      </x:c>
      <x:c r="E6" s="19" t="str">
        <x:v>E31/S03/S05/valbarS07 och specifika nya produkter</x:v>
      </x:c>
      <x:c r="F6" s="19" t="str">
        <x:v>Fullständig produkt/part/område/roll/period samt exakta exempelutfall.</x:v>
      </x:c>
      <x:c r="G6" s="19" t="str">
        <x:v>Öppen</x:v>
      </x:c>
    </x:row>
    <x:row r="7" ht="50.400001525878906" customHeight="1">
      <x:c r="A7" s="19" t="str">
        <x:v>G03</x:v>
      </x:c>
      <x:c r="B7" s="19" t="str">
        <x:v>Formellt prov</x:v>
      </x:c>
      <x:c r="C7" s="19" t="str">
        <x:v>TGT-testhandledning260827 version6-0-6 + PRODAT4-0-5 och UTILTS3-1-0-v2026 testdata + era faktiska godkännandeprotokoll</x:v>
      </x:c>
      <x:c r="D7" s="19" t="str">
        <x:v>Publicerad lista har kontrollerats; bilagornas fulltext och godkänd omfattning finns inte i denna verifiering.</x:v>
      </x:c>
      <x:c r="E7" s="19" t="str">
        <x:v>Formell releasecertifiering per aktör/roll/testscope</x:v>
      </x:c>
      <x:c r="F7" s="19" t="str">
        <x:v>Knyt testid, källrevision, aktör, miljö, payloadhash och resultat; kräver inte generellt omprov av allt utan källstöd.</x:v>
      </x:c>
      <x:c r="G7" s="19" t="str">
        <x:v>Öppen</x:v>
      </x:c>
    </x:row>
    <x:row r="8" ht="50.400001525878906" customHeight="1">
      <x:c r="A8" s="19" t="str">
        <x:v>G04</x:v>
      </x:c>
      <x:c r="B8" s="19" t="str">
        <x:v>Rättighet/affärsbeslut</x:v>
      </x:c>
      <x:c r="C8" s="19" t="str">
        <x:v>Konkreta ESCO-uppdrags-/kund-/DSO-avtal, identifierad juridisk provider och beneficiary per upplägg, bilateral capabilities, dataanvändning och retention</x:v>
      </x:c>
      <x:c r="D8" s="19" t="str">
        <x:v>Tenantstruktur och plattformsägande är inte marknadstillstånd eller juridiskt beslut om vidareutlämning.</x:v>
      </x:c>
      <x:c r="E8" s="19" t="str">
        <x:v>Aktivering av specifikt cross-tenantuppdrag och bilaterala funktioner</x:v>
      </x:c>
      <x:c r="F8" s="19" t="str">
        <x:v>Koppla evidens till rätt actor-profile/objekt/purpose/tidsperiod; inte generella kryssrutor.</x:v>
      </x:c>
      <x:c r="G8" s="19" t="str">
        <x:v>Öppen</x:v>
      </x:c>
    </x:row>
    <x:row r="9" ht="50.400001525878906" customHeight="1">
      <x:c r="A9" s="19" t="str">
        <x:v>G05</x:v>
      </x:c>
      <x:c r="B9" s="19" t="str">
        <x:v>Driftbevis</x:v>
      </x:c>
      <x:c r="C9" s="19" t="str">
        <x:v>Faktisk runtime↔DB-bindning, SMTP/providerinställning utan hemligheter, Stratos queue/Message-ID-spår, mottagarens logs, skyddad originalEML</x:v>
      </x:c>
      <x:c r="D9" s="19" t="str">
        <x:v>Den historiska Z01:ans slutliga transportutfall och produktionsbindning är inte bevisade av planen.</x:v>
      </x:c>
      <x:c r="E9" s="19" t="str">
        <x:v>Ny kontrollerad verklig sändning</x:v>
      </x:c>
      <x:c r="F9" s="19" t="str">
        <x:v>Visa komplett transport och korrelation; inga nya kundstatusar eller omsändningar på chans.</x:v>
      </x:c>
      <x:c r="G9" s="19" t="str">
        <x:v>Öppen</x:v>
      </x:c>
    </x:row>
    <x:row r="10" ht="50.400001525878906" customHeight="1">
      <x:c r="A10" s="19" t="str">
        <x:v>G06</x:v>
      </x:c>
      <x:c r="B10" s="19" t="str">
        <x:v>Implementationsbevis</x:v>
      </x:c>
      <x:c r="C10" s="19" t="str">
        <x:v>Full UNSM-grammatik och exakt konsument-/schema-/RPCinventering på release-SHA</x:v>
      </x:c>
      <x:c r="D10" s="19" t="str">
        <x:v>Nationella tabeller är detaljerade men ingen körbar full parser; existerande schema ska återanvändas korrekt.</x:v>
      </x:c>
      <x:c r="E10" s="19" t="str">
        <x:v>Påstående om full syntax/E2E/paritet och produktionsklarhet</x:v>
      </x:c>
      <x:c r="F10" s="19" t="str">
        <x:v>Grammatikversion, schemafiler, callgraph och tester kan verifieras genom anslutet repo/CI; användaren behöver normalt inte ladda upp dem manuellt.</x:v>
      </x:c>
      <x:c r="G10" s="19" t="str">
        <x:v>Öppen</x:v>
      </x:c>
    </x:row>
    <x:row r="11" ht="50.400001525878906" customHeight="1">
      <x:c r="A11" s="19" t="str">
        <x:v>G07</x:v>
      </x:c>
      <x:c r="B11" s="19" t="str">
        <x:v>Källkonflikt</x:v>
      </x:c>
      <x:c r="C11" s="19" t="str">
        <x:v>Register över explicit identifierade dokumentmotsägelser</x:v>
      </x:c>
      <x:c r="D11" s="19" t="str">
        <x:v>PöversiktZ34 motE34; Pbilaga4äldreassociation; svenskUfooter25-A-5; exempelA02 motB71–B76.</x:v>
      </x:c>
      <x:c r="E11" s="19" t="str">
        <x:v>Endast tolkningar som verkligen påverkas</x:v>
      </x:c>
      <x:c r="F11" s="19" t="str">
        <x:v>Använd uttrycklig precedens där den finns. Oavgjord normkonflikt ska få källstödd tolkning, inte härledas från att referensfilen fåttpositivACK.</x:v>
      </x:c>
      <x:c r="G11" s="19" t="str">
        <x:v>Öppen</x:v>
      </x:c>
    </x:row>
  </x:sheetData>
  <x:mergeCells>
    <x:mergeCell ref="A1:G1"/>
    <x:mergeCell ref="A2:G2"/>
  </x:mergeCells>
  <x:conditionalFormatting sqref="G5:G11">
    <x:cfRule type="expression" dxfId="1" priority="1">
      <x:formula>G5="Öppen"</x:formula>
    </x:cfRule>
  </x:conditionalFormatting>
  <x:dataValidations count="1">
    <x:dataValidation type="list" sqref="G5:G11">
      <x:formula1>"Öppen,Under granskning,Stängd med bevis"</x:formula1>
    </x:dataValidation>
  </x:dataValidations>
  <x:pageMargins left="0.7" right="0.7" top="0.75" bottom="0.75" header="0.3" footer="0.3"/>
  <x:tableParts count="1">
    <x:tablePart xmlns:r="http://schemas.openxmlformats.org/officeDocument/2006/relationships" r:id="Ra130ff821fab4f3b"/>
  </x:tableParts>
</x:worksheet>
</file>

<file path=xl/worksheets/sheet17.xml><?xml version="1.0" encoding="utf-8"?>
<x:worksheet xmlns:x="http://schemas.openxmlformats.org/spreadsheetml/2006/main">
  <x:sheetFormatPr defaultRowHeight="15"/>
  <x:cols>
    <x:col min="1" max="1" width="16" hidden="0" customWidth="1"/>
    <x:col min="2" max="2" width="14" hidden="0" customWidth="1"/>
    <x:col min="3" max="3" width="25" hidden="0" customWidth="1"/>
    <x:col min="4" max="4" width="43" hidden="0" customWidth="1"/>
    <x:col min="5" max="5" width="68" hidden="0" customWidth="1"/>
    <x:col min="6" max="6" width="68" hidden="0" customWidth="1"/>
    <x:col min="7" max="7" width="68" hidden="0" customWidth="1"/>
    <x:col min="8" max="8" width="49" hidden="0" customWidth="1"/>
    <x:col min="9" max="9" width="46" hidden="0" customWidth="1"/>
    <x:col min="10" max="10" width="60" hidden="0" customWidth="1"/>
    <x:col min="11" max="11" width="20" hidden="0" customWidth="1"/>
    <x:col min="12" max="12" width="26" hidden="0" customWidth="1"/>
    <x:col min="13" max="13" width="45" hidden="0" customWidth="1"/>
  </x:cols>
  <x:sheetData>
    <x:row r="1" ht="30" customHeight="1">
      <x:c r="A1" s="3" t="str">
        <x:v>Tidigare 62 fynd · Gridex Ediel v2</x:v>
      </x:c>
      <x:c r="B1" s="3"/>
      <x:c r="C1" s="3"/>
      <x:c r="D1" s="3"/>
      <x:c r="E1" s="3"/>
      <x:c r="F1" s="3"/>
      <x:c r="G1" s="3"/>
      <x:c r="H1" s="3"/>
      <x:c r="I1" s="3"/>
      <x:c r="J1" s="3"/>
      <x:c r="K1" s="3"/>
      <x:c r="L1" s="3"/>
      <x:c r="M1" s="3"/>
    </x:row>
    <x:row r="2" ht="34" customHeight="1">
      <x:c r="A2" s="8" t="str">
        <x:v>Historiska granskningspunkter från eb9a25b. Inte 62 bevisade driftincidenter, och ingen är löst genom dokumentets tillkomst.</x:v>
      </x:c>
      <x:c r="B2" s="8"/>
      <x:c r="C2" s="8"/>
      <x:c r="D2" s="8"/>
      <x:c r="E2" s="8"/>
      <x:c r="F2" s="8"/>
      <x:c r="G2" s="8"/>
      <x:c r="H2" s="8"/>
      <x:c r="I2" s="8"/>
      <x:c r="J2" s="8"/>
      <x:c r="K2" s="8"/>
      <x:c r="L2" s="8"/>
      <x:c r="M2" s="8"/>
    </x:row>
    <x:row r="4" ht="37" customHeight="1">
      <x:c r="A4" s="14" t="str">
        <x:v>Fynd-id</x:v>
      </x:c>
      <x:c r="B4" s="14" t="str">
        <x:v>Prioritet</x:v>
      </x:c>
      <x:c r="C4" s="14" t="str">
        <x:v>Bevisklass</x:v>
      </x:c>
      <x:c r="D4" s="14" t="str">
        <x:v>Rubrik</x:v>
      </x:c>
      <x:c r="E4" s="14" t="str">
        <x:v>Observerat</x:v>
      </x:c>
      <x:c r="F4" s="14" t="str">
        <x:v>Åtgärd</x:v>
      </x:c>
      <x:c r="G4" s="14" t="str">
        <x:v>Acceptans</x:v>
      </x:c>
      <x:c r="H4" s="14" t="str">
        <x:v>Kod</x:v>
      </x:c>
      <x:c r="I4" s="14" t="str">
        <x:v>Källa</x:v>
      </x:c>
      <x:c r="J4" s="14" t="str">
        <x:v>Källplats</x:v>
      </x:c>
      <x:c r="K4" s="14" t="str">
        <x:v>Status</x:v>
      </x:c>
      <x:c r="L4" s="14" t="str">
        <x:v>Ansvarig</x:v>
      </x:c>
      <x:c r="M4" s="14" t="str">
        <x:v>Verifieringsbevis</x:v>
      </x:c>
    </x:row>
    <x:row r="5" ht="50.400001525878906" customHeight="1">
      <x:c r="A5" s="19" t="str">
        <x:v>E001</x:v>
      </x:c>
      <x:c r="B5" s="19" t="str">
        <x:v>P0</x:v>
      </x:c>
      <x:c r="C5" s="19" t="str">
        <x:v>Kodfel</x:v>
      </x:c>
      <x:c r="D5" s="19" t="str">
        <x:v>26 felaktiga eller oprecisa fältkopplingar</x:v>
      </x:c>
      <x:c r="E5" s="19" t="str">
        <x:v>Matrisens segmentPath konsumeras av både mottagnings- och sändningsvalidering. De 26 delavvikelserna finns separat; detta är inte 26 observerade driftincidenter.</x:v>
      </x:c>
      <x:c r="F5" s="19" t="str">
        <x:v>Korrigera hela fältkatalogen med exakt segmentgrupp, kvalificerare, element och komponent. Generera projektioner från en versionsstyrd källa.</x:v>
      </x:c>
      <x:c r="G5" s="19" t="str">
        <x:v>Alla 26 kopplingar verifieras mot oberoende källutdrag. Giltig Z15 med DTM+164 och RFF+Z09 ska inte underkännas som fel fält.</x:v>
      </x:c>
      <x:c r="H5" s="19" t="str">
        <x:v>lib/ediel/prodat/prodat26AFieldMatrix.ts</x:v>
      </x:c>
      <x:c r="I5" s="19" t="str">
        <x:v>R1 §3 F01; P kap. 2.2, 2.6; se blad Fältmappning</x:v>
      </x:c>
      <x:c r="J5" s="19" t="str">
        <x:v>https://github.com/heke99/gridex-ops-platform/blob/eb9a25bc989c6de808903f41c2314d5465e9c07b/lib/ediel/prodat/prodat26AFieldMatrix.ts</x:v>
      </x:c>
      <x:c r="K5" s="19" t="str">
        <x:v>Öppen</x:v>
      </x:c>
      <x:c r="L5" s="19" t="str"/>
      <x:c r="M5" s="19" t="str"/>
    </x:row>
    <x:row r="6" ht="50.400001525878906" customHeight="1">
      <x:c r="A6" s="19" t="str">
        <x:v>E002</x:v>
      </x:c>
      <x:c r="B6" s="19" t="str">
        <x:v>P0</x:v>
      </x:c>
      <x:c r="C6" s="19" t="str">
        <x:v>Kodfel</x:v>
      </x:c>
      <x:c r="D6" s="19" t="str">
        <x:v>Inkommande extra X/D-fält avvisas</x:v>
      </x:c>
      <x:c r="E6" s="19" t="str">
        <x:v>Matrisens ej-tillämpliga fält blir forbidden även vid mottagning. PRODAT:s extra information får då utlösa negativ APERAK.</x:v>
      </x:c>
      <x:c r="F6" s="19" t="str">
        <x:v>Skilj sändningskrav från mottagningskrav. Ignorera enligt anvisningen den extra informationen utan att uppdatera affärsdata från den. Behåll verklig syntaxkontroll.</x:v>
      </x:c>
      <x:c r="G6" s="19" t="str">
        <x:v>Inkommande PRODAT med extra X eller D vars villkor inte gäller får ingen negativ APERAK enbart för detta; motsvarande utgående profil bygger inte dessa fält.</x:v>
      </x:c>
      <x:c r="H6" s="19" t="str">
        <x:v>lib/ediel/rulebook/fieldMatrix.ts</x:v>
      </x:c>
      <x:c r="I6" s="19" t="str">
        <x:v>R1 §3 F02; P bilaga 4 s.119</x:v>
      </x:c>
      <x:c r="J6" s="19" t="str">
        <x:v>https://github.com/heke99/gridex-ops-platform/blob/eb9a25bc989c6de808903f41c2314d5465e9c07b/lib/ediel/rulebook/fieldMatrix.ts</x:v>
      </x:c>
      <x:c r="K6" s="19" t="str">
        <x:v>Öppen</x:v>
      </x:c>
      <x:c r="L6" s="19" t="str"/>
      <x:c r="M6" s="19" t="str"/>
    </x:row>
    <x:row r="7" ht="50.400001525878906" customHeight="1">
      <x:c r="A7" s="19" t="str">
        <x:v>E003</x:v>
      </x:c>
      <x:c r="B7" s="19" t="str">
        <x:v>P0</x:v>
      </x:c>
      <x:c r="C7" s="19" t="str">
        <x:v>Kodfel</x:v>
      </x:c>
      <x:c r="D7" s="19" t="str">
        <x:v>APERAK-fältreferens härleds från segmenttext</x:v>
      </x:c>
      <x:c r="E7" s="19" t="str">
        <x:v>applicationErrorFromIssue plockar tre siffror ur fieldPath. DTM+273 blir 273 i stället för avsett fält 327; RFF+Z05 saknar träff i stället för fält 260.</x:v>
      </x:c>
      <x:c r="F7" s="19" t="str">
        <x:v>Bär explicit fältnummer från regeln till APERAK-byggaren. Separera ERC, PRODAT-fältnummer och särskild applikationsfelkod.</x:v>
      </x:c>
      <x:c r="G7" s="19" t="str">
        <x:v>Fälten 260 och 327 ger rätt ERC/FTX-fältreferens. ERC 40 använder sin särskilda kodrymd, aldrig ett gissat segmentnummer.</x:v>
      </x:c>
      <x:c r="H7" s="19" t="str">
        <x:v>lib/ediel/core/runtimeDecision.ts</x:v>
      </x:c>
      <x:c r="I7" s="19" t="str">
        <x:v>R1 §3 F03; P s.90–105</x:v>
      </x:c>
      <x:c r="J7" s="19" t="str">
        <x:v>https://github.com/heke99/gridex-ops-platform/blob/eb9a25bc989c6de808903f41c2314d5465e9c07b/lib/ediel/core/runtimeDecision.ts</x:v>
      </x:c>
      <x:c r="K7" s="19" t="str">
        <x:v>Öppen</x:v>
      </x:c>
      <x:c r="L7" s="19" t="str"/>
      <x:c r="M7" s="19" t="str"/>
    </x:row>
    <x:row r="8" ht="50.400001525878906" customHeight="1">
      <x:c r="A8" s="19" t="str">
        <x:v>E004</x:v>
      </x:c>
      <x:c r="B8" s="19" t="str">
        <x:v>P0</x:v>
      </x:c>
      <x:c r="C8" s="19" t="str">
        <x:v>Kodfel</x:v>
      </x:c>
      <x:c r="D8" s="19" t="str">
        <x:v>Felobjekt tappar objekt- och ärendereferenser</x:v>
      </x:c>
      <x:c r="E8" s="19" t="str">
        <x:v>Det mellanliggande felobjektet sätter referenser till null. Slutkonsekvensen för varje flerobjektsfall är ännu inte E2E-bevisad.</x:v>
      </x:c>
      <x:c r="F8" s="19" t="str">
        <x:v>Bevara huvud-, meddelande-, objekt-, register- och ärendescope i en strukturerad felmodell.</x:v>
      </x:c>
      <x:c r="G8" s="19" t="str">
        <x:v>Två LIN med fel i den andra raden ger svar som refererar till rätt objekt och RFF+LI, utan att avvisa eller skriva om det första.</x:v>
      </x:c>
      <x:c r="H8" s="19" t="str">
        <x:v>lib/ediel/core/runtimeDecision.ts</x:v>
      </x:c>
      <x:c r="I8" s="19" t="str">
        <x:v>R1 §3 F03; P kap.3 och bilaga 4</x:v>
      </x:c>
      <x:c r="J8" s="19" t="str">
        <x:v>https://github.com/heke99/gridex-ops-platform/blob/eb9a25bc989c6de808903f41c2314d5465e9c07b/lib/ediel/core/runtimeDecision.ts</x:v>
      </x:c>
      <x:c r="K8" s="19" t="str">
        <x:v>Öppen</x:v>
      </x:c>
      <x:c r="L8" s="19" t="str"/>
      <x:c r="M8" s="19" t="str"/>
    </x:row>
    <x:row r="9" ht="50.400001525878906" customHeight="1">
      <x:c r="A9" s="19" t="str">
        <x:v>E005</x:v>
      </x:c>
      <x:c r="B9" s="19" t="str">
        <x:v>P1</x:v>
      </x:c>
      <x:c r="C9" s="19" t="str">
        <x:v>Kodfel</x:v>
      </x:c>
      <x:c r="D9" s="19" t="str">
        <x:v>Z09D byggs med fel datumsegment</x:v>
      </x:c>
      <x:c r="E9" s="19" t="str">
        <x:v>Den gemensamma byggaren använder DTM+157 för Z09. Efterbehandling korrigerar F/G men inte D.</x:v>
      </x:c>
      <x:c r="F9" s="19" t="str">
        <x:v>Z09D använder avtalets start DTM+92 eller slut DTM+93 enligt händelsen, inte båda.</x:v>
      </x:c>
      <x:c r="G9" s="19" t="str">
        <x:v>Separata start- och sluttestfall ger rätt segment. Fallet med båda datumen prövas mot den särskilda avvisningsregeln, inte en generell datumregel.</x:v>
      </x:c>
      <x:c r="H9" s="19" t="str">
        <x:v>lib/ediel/prodat/builders/profileRenderer.ts</x:v>
      </x:c>
      <x:c r="I9" s="19" t="str">
        <x:v>R1 §3 F04; P s.16–23, 49–52, 112–113</x:v>
      </x:c>
      <x:c r="J9" s="19" t="str">
        <x:v>https://github.com/heke99/gridex-ops-platform/blob/eb9a25bc989c6de808903f41c2314d5465e9c07b/lib/ediel/prodat/builders/profileRenderer.ts</x:v>
      </x:c>
      <x:c r="K9" s="19" t="str">
        <x:v>Öppen</x:v>
      </x:c>
      <x:c r="L9" s="19" t="str"/>
      <x:c r="M9" s="19" t="str"/>
    </x:row>
    <x:row r="10" ht="50.400001525878906" customHeight="1">
      <x:c r="A10" s="19" t="str">
        <x:v>E006</x:v>
      </x:c>
      <x:c r="B10" s="19" t="str">
        <x:v>P1</x:v>
      </x:c>
      <x:c r="C10" s="19" t="str">
        <x:v>Kodfel</x:v>
      </x:c>
      <x:c r="D10" s="19" t="str">
        <x:v>Z09E tappar elanvändaruppgifter</x:v>
      </x:c>
      <x:c r="E10" s="19" t="str">
        <x:v>NAD+UD undertrycks för alla Z09, fast elanvändaren ska anges i Z09E.</x:v>
      </x:c>
      <x:c r="F10" s="19" t="str">
        <x:v>Använd undertypsspecifika villkor för NAD+UD; behåll att B/D/F/G inte skickar elanvändare.</x:v>
      </x:c>
      <x:c r="G10" s="19" t="str">
        <x:v>Z09E innehåller föreskrivna elanvändaruppgifter. B/D/F/G följer sina andra villkor.</x:v>
      </x:c>
      <x:c r="H10" s="19" t="str">
        <x:v>lib/ediel/prodat/builders/profileRenderer.ts</x:v>
      </x:c>
      <x:c r="I10" s="19" t="str">
        <x:v>R1 §3 F04; P s.22, 123</x:v>
      </x:c>
      <x:c r="J10" s="19" t="str">
        <x:v>https://github.com/heke99/gridex-ops-platform/blob/eb9a25bc989c6de808903f41c2314d5465e9c07b/lib/ediel/prodat/builders/profileRenderer.ts</x:v>
      </x:c>
      <x:c r="K10" s="19" t="str">
        <x:v>Öppen</x:v>
      </x:c>
      <x:c r="L10" s="19" t="str"/>
      <x:c r="M10" s="19" t="str"/>
    </x:row>
    <x:row r="11" ht="50.400001525878906" customHeight="1">
      <x:c r="A11" s="19" t="str">
        <x:v>E007</x:v>
      </x:c>
      <x:c r="B11" s="19" t="str">
        <x:v>P1</x:v>
      </x:c>
      <x:c r="C11" s="19" t="str">
        <x:v>Kodfel</x:v>
      </x:c>
      <x:c r="D11" s="19" t="str">
        <x:v>Z13 utan anläggnings-id tappar LIN</x:v>
      </x:c>
      <x:c r="E11" s="19" t="str">
        <x:v>Byggaren skapar LIN endast när anläggningsidentitet finns.</x:v>
      </x:c>
      <x:c r="F11" s="19" t="str">
        <x:v>Skapa föreskriven sekvensrad även när Z13-fallet saknar anläggnings-id; tillverka inte ett id.</x:v>
      </x:c>
      <x:c r="G11" s="19" t="str">
        <x:v>Z13 utan objekt-id har LIN+1 och rätt övriga uppgifter; full parser–validerare–svar-kedja passerar enligt profilen.</x:v>
      </x:c>
      <x:c r="H11" s="19" t="str">
        <x:v>lib/ediel/prodat/builders/z13.ts</x:v>
      </x:c>
      <x:c r="I11" s="19" t="str">
        <x:v>R1 §3 F04; P kap.2.2, LIN-beskrivning</x:v>
      </x:c>
      <x:c r="J11" s="19" t="str">
        <x:v>https://github.com/heke99/gridex-ops-platform/blob/eb9a25bc989c6de808903f41c2314d5465e9c07b/lib/ediel/prodat/builders/z13.ts</x:v>
      </x:c>
      <x:c r="K11" s="19" t="str">
        <x:v>Öppen</x:v>
      </x:c>
      <x:c r="L11" s="19" t="str"/>
      <x:c r="M11" s="19" t="str"/>
    </x:row>
    <x:row r="12" ht="50.400001525878906" customHeight="1">
      <x:c r="A12" s="19" t="str">
        <x:v>E008</x:v>
      </x:c>
      <x:c r="B12" s="19" t="str">
        <x:v>P1</x:v>
      </x:c>
      <x:c r="C12" s="19" t="str">
        <x:v>Kodfel</x:v>
      </x:c>
      <x:c r="D12" s="19" t="str">
        <x:v>Rapportslut byggs bara för historiskt tillstånd</x:v>
      </x:c>
      <x:c r="E12" s="19" t="str">
        <x:v>DTM+91 tas bara med när tillståndet klassificeras som historiskt.</x:v>
      </x:c>
      <x:c r="F12" s="19" t="str">
        <x:v>Låt fält 321 styras av faktisk tidsbegränsning och aktuell undertyp, inte bara VH-flagga.</x:v>
      </x:c>
      <x:c r="G12" s="19" t="str">
        <x:v>Både ändlig ordinarie rapportering och historiska fall har rätt start/slut; obegränsad rapportering får ingen påhittad slutdag.</x:v>
      </x:c>
      <x:c r="H12" s="19" t="str">
        <x:v>lib/ediel/prodat/builders/profileRenderer.ts</x:v>
      </x:c>
      <x:c r="I12" s="19" t="str">
        <x:v>R1 §3 F04; P fält321 och DTM s.49</x:v>
      </x:c>
      <x:c r="J12" s="19" t="str">
        <x:v>https://github.com/heke99/gridex-ops-platform/blob/eb9a25bc989c6de808903f41c2314d5465e9c07b/lib/ediel/prodat/builders/profileRenderer.ts</x:v>
      </x:c>
      <x:c r="K12" s="19" t="str">
        <x:v>Öppen</x:v>
      </x:c>
      <x:c r="L12" s="19" t="str"/>
      <x:c r="M12" s="19" t="str"/>
    </x:row>
    <x:row r="13" ht="50.400001525878906" customHeight="1">
      <x:c r="A13" s="19" t="str">
        <x:v>E009</x:v>
      </x:c>
      <x:c r="B13" s="19" t="str">
        <x:v>P1</x:v>
      </x:c>
      <x:c r="C13" s="19" t="str">
        <x:v>Kodfel</x:v>
      </x:c>
      <x:c r="D13" s="19" t="str">
        <x:v>Validatorn använder första förekomsten</x:v>
      </x:c>
      <x:c r="E13" s="19" t="str">
        <x:v>first/findIndex innebär att förekomstkontrollen inte i sig validerar varje LIN/register. Andra kontrollager kan finnas.</x:v>
      </x:c>
      <x:c r="F13" s="19" t="str">
        <x:v>Validera huvud, varje objekt och varje register i sin egen grupp.</x:v>
      </x:c>
      <x:c r="G13" s="19" t="str">
        <x:v>Test där första gruppen är korrekt och nästa felaktig identifierar endast rätt felgrupp. Flerregisterfall följer skillnaden mellan register 1 och 2+.</x:v>
      </x:c>
      <x:c r="H13" s="19" t="str">
        <x:v>lib/ediel/rulebook/fieldMatrix.ts</x:v>
      </x:c>
      <x:c r="I13" s="19" t="str">
        <x:v>R1 §3 F05; P bilaga 2</x:v>
      </x:c>
      <x:c r="J13" s="19" t="str">
        <x:v>https://github.com/heke99/gridex-ops-platform/blob/eb9a25bc989c6de808903f41c2314d5465e9c07b/lib/ediel/rulebook/fieldMatrix.ts</x:v>
      </x:c>
      <x:c r="K13" s="19" t="str">
        <x:v>Öppen</x:v>
      </x:c>
      <x:c r="L13" s="19" t="str"/>
      <x:c r="M13" s="19" t="str"/>
    </x:row>
    <x:row r="14" ht="50.400001525878906" customHeight="1">
      <x:c r="A14" s="19" t="str">
        <x:v>E010</x:v>
      </x:c>
      <x:c r="B14" s="19" t="str">
        <x:v>P1</x:v>
      </x:c>
      <x:c r="C14" s="19" t="str">
        <x:v>Kodfel</x:v>
      </x:c>
      <x:c r="D14" s="19" t="str">
        <x:v>Tomma komponenter tas bort</x:v>
      </x:c>
      <x:c r="E14" s="19" t="str">
        <x:v>components tar bort tomma positioner så att olika CAV-komponenter kan läsas som samma uppgift.</x:v>
      </x:c>
      <x:c r="F14" s="19" t="str">
        <x:v>Använd en positionsbevarande EDIFACT-AST med korrekt hantering av UNA och frisläppningstecken.</x:v>
      </x:c>
      <x:c r="G14" s="19" t="str">
        <x:v>CAV med första respektive andra 7110 skiljs åt. Tomma komponenter, kolon, plustecken och frågetecken testas utan informationsförlust.</x:v>
      </x:c>
      <x:c r="H14" s="19" t="str">
        <x:v>lib/ediel/rulebook/fieldMatrix.ts</x:v>
      </x:c>
      <x:c r="I14" s="19" t="str">
        <x:v>R1 §3 F05; P segmentbeskrivningar; T kap.4, 6</x:v>
      </x:c>
      <x:c r="J14" s="19" t="str">
        <x:v>https://github.com/heke99/gridex-ops-platform/blob/eb9a25bc989c6de808903f41c2314d5465e9c07b/lib/ediel/rulebook/fieldMatrix.ts</x:v>
      </x:c>
      <x:c r="K14" s="19" t="str">
        <x:v>Öppen</x:v>
      </x:c>
      <x:c r="L14" s="19" t="str"/>
      <x:c r="M14" s="19" t="str"/>
    </x:row>
    <x:row r="15" ht="50.400001525878906" customHeight="1">
      <x:c r="A15" s="19" t="str">
        <x:v>E011</x:v>
      </x:c>
      <x:c r="B15" s="19" t="str">
        <x:v>P0</x:v>
      </x:c>
      <x:c r="C15" s="19" t="str">
        <x:v>Kodfel</x:v>
      </x:c>
      <x:c r="D15" s="19" t="str">
        <x:v>UNB/0031 fylls inte i</x:v>
      </x:c>
      <x:c r="E15" s="19" t="str">
        <x:v>ACK_REQUEST-positionen finns men serializeUnb tilldelar aldrig värdet. Den avlästa Z01-payloaden saknar begäran om CONTRL.</x:v>
      </x:c>
      <x:c r="F15" s="19" t="str">
        <x:v>För in kvittenspolicyn i kuvertbyggaren. CONTRL självt ska utelämna begäran; BGM/AB är separat.</x:v>
      </x:c>
      <x:c r="G15" s="19" t="str">
        <x:v>PRODAT och relevanta övriga profiler har 0031=1. CONTRL saknar den. Testindikatorns position påverkas inte.</x:v>
      </x:c>
      <x:c r="H15" s="19" t="str">
        <x:v>lib/ediel/core/edifactEnvelopeCodec.ts</x:v>
      </x:c>
      <x:c r="I15" s="19" t="str">
        <x:v>R2 F01; R3 T-01; T s.12, 25</x:v>
      </x:c>
      <x:c r="J15" s="19" t="str">
        <x:v>https://github.com/heke99/gridex-ops-platform/blob/eb9a25bc989c6de808903f41c2314d5465e9c07b/lib/ediel/core/edifactEnvelopeCodec.ts</x:v>
      </x:c>
      <x:c r="K15" s="19" t="str">
        <x:v>Öppen</x:v>
      </x:c>
      <x:c r="L15" s="19" t="str"/>
      <x:c r="M15" s="19" t="str"/>
    </x:row>
    <x:row r="16" ht="50.400001525878906" customHeight="1">
      <x:c r="A16" s="19" t="str">
        <x:v>E012</x:v>
      </x:c>
      <x:c r="B16" s="19" t="str">
        <x:v>P0</x:v>
      </x:c>
      <x:c r="C16" s="19" t="str">
        <x:v>Kodfel</x:v>
      </x:c>
      <x:c r="D16" s="19" t="str">
        <x:v>SE2-identitet byggs med ZZZ i stället för 260</x:v>
      </x:c>
      <x:c r="E16" s="19" t="str">
        <x:v>prodatCustomerNadSegment och kommentaren i funktionen använder ZZZ för det granskade kund-id-fältet. Detta syns i den avlästa Z01-payloaden.</x:v>
      </x:c>
      <x:c r="F16" s="19" t="str">
        <x:v>Rätta kvalificerare/kodlisteansvarig per specifikt fält och profil. Ingen global ersättning av ZZZ.</x:v>
      </x:c>
      <x:c r="G16" s="19" t="str">
        <x:v>Det aktuella SE2-fallet renderas enligt SG17/NAD med 260 och valideras som fält227; andra legitima ZZZ-koder bevaras.</x:v>
      </x:c>
      <x:c r="H16" s="19" t="str">
        <x:v>lib/ediel/prodat/render/segments.ts</x:v>
      </x:c>
      <x:c r="I16" s="19" t="str">
        <x:v>R2 F02; R3 T-02; P s.79–80, 119</x:v>
      </x:c>
      <x:c r="J16" s="19" t="str">
        <x:v>https://github.com/heke99/gridex-ops-platform/blob/eb9a25bc989c6de808903f41c2314d5465e9c07b/lib/ediel/prodat/render/segments.ts</x:v>
      </x:c>
      <x:c r="K16" s="19" t="str">
        <x:v>Öppen</x:v>
      </x:c>
      <x:c r="L16" s="19" t="str"/>
      <x:c r="M16" s="19" t="str"/>
    </x:row>
    <x:row r="17" ht="36.599998474121094" customHeight="1">
      <x:c r="A17" s="19" t="str">
        <x:v>E013</x:v>
      </x:c>
      <x:c r="B17" s="19" t="str">
        <x:v>P1</x:v>
      </x:c>
      <x:c r="C17" s="19" t="str">
        <x:v>Förtydligande</x:v>
      </x:c>
      <x:c r="D17" s="19" t="str">
        <x:v>AB i Z01 är inte ett förbjudet värde</x:v>
      </x:c>
      <x:c r="E17" s="19" t="str">
        <x:v>Tidigare noterad skillnad mellan AB i payload och ingen positiv APERAK-förväntan får inte tolkas som att AB är olagligt.</x:v>
      </x:c>
      <x:c r="F17" s="19" t="str">
        <x:v>Dokumentera Z01:s särskilda kvittenssemantik. Låt inte positiv APERAK bli ett extra obligatoriskt steg före Z02.</x:v>
      </x:c>
      <x:c r="G17" s="19" t="str">
        <x:v>Z01 med tillåten AB/NA hanteras enligt anvisningen. Z02 eller negativ APERAK driver fråga–svar; ingen ny påhittad väntespärr.</x:v>
      </x:c>
      <x:c r="H17" s="19" t="str"/>
      <x:c r="I17" s="19" t="str">
        <x:v>R1 F04, preciserat vid sammanställning; P s.42, 86, 109</x:v>
      </x:c>
      <x:c r="J17" s="19" t="str"/>
      <x:c r="K17" s="19" t="str">
        <x:v>Klargjord</x:v>
      </x:c>
      <x:c r="L17" s="19" t="str"/>
      <x:c r="M17" s="19" t="str"/>
    </x:row>
    <x:row r="18" ht="50.400001525878906" customHeight="1">
      <x:c r="A18" s="19" t="str">
        <x:v>E014</x:v>
      </x:c>
      <x:c r="B18" s="19" t="str">
        <x:v>P0</x:v>
      </x:c>
      <x:c r="C18" s="19" t="str">
        <x:v>Kodfel</x:v>
      </x:c>
      <x:c r="D18" s="19" t="str">
        <x:v>Två separata registerparsers ger olika resultat</x:v>
      </x:c>
      <x:c r="E18" s="19" t="str">
        <x:v>Nätägarimporten och /admin/ediel/actors använder skilda parserimplementationer och normaliseringar.</x:v>
      </x:c>
      <x:c r="F18" s="19" t="str">
        <x:v>En gemensam importkärna med formatadaptrar och gemensam normaliserad datamodell; UI och scripts anropar samma tjänst.</x:v>
      </x:c>
      <x:c r="G18" s="19" t="str">
        <x:v>Samma XML ger identiskt normaliserat resultat från samtliga stödda ingångar. Gamla alternativa parsers avvecklas eller delegerar.</x:v>
      </x:c>
      <x:c r="H18" s="19" t="str">
        <x:v>lib/actor-registry/parseActorRegistryXml.ts</x:v>
      </x:c>
      <x:c r="I18" s="19" t="str">
        <x:v>R3 R-06/R-07; companies.xml</x:v>
      </x:c>
      <x:c r="J18" s="19" t="str">
        <x:v>https://github.com/heke99/gridex-ops-platform/blob/eb9a25bc989c6de808903f41c2314d5465e9c07b/lib/actor-registry/parseActorRegistryXml.ts</x:v>
      </x:c>
      <x:c r="K18" s="19" t="str">
        <x:v>Öppen</x:v>
      </x:c>
      <x:c r="L18" s="19" t="str"/>
      <x:c r="M18" s="19" t="str"/>
    </x:row>
    <x:row r="19" ht="50.400001525878906" customHeight="1">
      <x:c r="A19" s="19" t="str">
        <x:v>E015</x:v>
      </x:c>
      <x:c r="B19" s="19" t="str">
        <x:v>P0</x:v>
      </x:c>
      <x:c r="C19" s="19" t="str">
        <x:v>Kodfel</x:v>
      </x:c>
      <x:c r="D19" s="19" t="str">
        <x:v>Generiska XML-parsern missar officiella nycklar och rutter</x:v>
      </x:c>
      <x:c r="E19" s="19" t="str">
        <x:v>Oberoende reproduktion: 697 poster men 0 ruttblock; org.nr/EIC missas i 697 poster och Ediel-id i 134. Key Type och EDIFACTDetails känns inte igen som avsett.</x:v>
      </x:c>
      <x:c r="F19" s="19" t="str">
        <x:v>Läs officiell XML-struktur med marknad, Key Type, EDIFACTDetails och respektive attribut. Använd säker XML-parser.</x:v>
      </x:c>
      <x:c r="G19" s="19" t="str">
        <x:v>Oförändrad export ger 697 företagsposter, 651 EL/46 GAS och 1196 EDIFACTDetails över alla familjer. Avsaknad av rutt bedöms efter aktörens roll, inte som generellt krav för alla.</x:v>
      </x:c>
      <x:c r="H19" s="19" t="str">
        <x:v>lib/actor-registry/parseActorRegistryXml.ts</x:v>
      </x:c>
      <x:c r="I19" s="19" t="str">
        <x:v>R3 R-06; registry_selector_results.json; companies.xml</x:v>
      </x:c>
      <x:c r="J19" s="19" t="str">
        <x:v>https://github.com/heke99/gridex-ops-platform/blob/eb9a25bc989c6de808903f41c2314d5465e9c07b/lib/actor-registry/parseActorRegistryXml.ts</x:v>
      </x:c>
      <x:c r="K19" s="19" t="str">
        <x:v>Öppen</x:v>
      </x:c>
      <x:c r="L19" s="19" t="str"/>
      <x:c r="M19" s="19" t="str"/>
    </x:row>
    <x:row r="20" ht="50.400001525878906" customHeight="1">
      <x:c r="A20" s="19" t="str">
        <x:v>E016</x:v>
      </x:c>
      <x:c r="B20" s="19" t="str">
        <x:v>P0</x:v>
      </x:c>
      <x:c r="C20" s="19" t="str">
        <x:v>Kodfel</x:v>
      </x:c>
      <x:c r="D20" s="19" t="str">
        <x:v>Marknaden EL/GAS tappas i aktörsimporten</x:v>
      </x:c>
      <x:c r="E20" s="19" t="str">
        <x:v>parseCompaniesXml hittar rutterna men bevarar inte förälderns Market. Samma aktör kan ha olika adresser för EL och GAS.</x:v>
      </x:c>
      <x:c r="F20" s="19" t="str">
        <x:v>Bär marknad genom normalisering, lagring, konflikter, ruttmaterialisering och urval. Gasaudit ger inte automatiskt rätt att aktivera gasflöden.</x:v>
      </x:c>
      <x:c r="G20" s="19" t="str">
        <x:v>CGI 92400:s skilda EL-/GAS-rutter förblir separata. Ett elärende kan inte välja en gasrutt.</x:v>
      </x:c>
      <x:c r="H20" s="19" t="str">
        <x:v>app/admin/ediel/actors/actions.ts</x:v>
      </x:c>
      <x:c r="I20" s="19" t="str">
        <x:v>R3 R-07; companies.xml; T kap.5</x:v>
      </x:c>
      <x:c r="J20" s="19" t="str">
        <x:v>https://github.com/heke99/gridex-ops-platform/blob/eb9a25bc989c6de808903f41c2314d5465e9c07b/app/admin/ediel/actors/actions.ts</x:v>
      </x:c>
      <x:c r="K20" s="19" t="str">
        <x:v>Öppen</x:v>
      </x:c>
      <x:c r="L20" s="19" t="str"/>
      <x:c r="M20" s="19" t="str"/>
    </x:row>
    <x:row r="21" ht="50.400001525878906" customHeight="1">
      <x:c r="A21" s="19" t="str">
        <x:v>E017</x:v>
      </x:c>
      <x:c r="B21" s="19" t="str">
        <x:v>P1</x:v>
      </x:c>
      <x:c r="C21" s="19" t="str">
        <x:v>Kodfel</x:v>
      </x:c>
      <x:c r="D21" s="19" t="str">
        <x:v>Rollnamn normaliseras inkonsekvent</x:v>
      </x:c>
      <x:c r="E21" s="19" t="str">
        <x:v>PowerSupplier missas av generiska normaliseraren. BalanceResponsible hanteras inte som avsett i den andra.</x:v>
      </x:c>
      <x:c r="F21" s="19" t="str">
        <x:v>Ett centralt rollregister med källans råvärde och uttryckliga mappningar. Okända roller blir granskningsfall, inte tyst fel roll.</x:v>
      </x:c>
      <x:c r="G21" s="19" t="str">
        <x:v>PowerSupplier, Netowner, ESCO, SystemSupplier och BalanceResponsible bevaras korrekt; test- och produktionsbehörighet följer särskild verifiering.</x:v>
      </x:c>
      <x:c r="H21" s="19" t="str">
        <x:v>lib/actor-registry/normalizeActor.ts</x:v>
      </x:c>
      <x:c r="I21" s="19" t="str">
        <x:v>R3 R-06/R-07; companies.xml</x:v>
      </x:c>
      <x:c r="J21" s="19" t="str">
        <x:v>https://github.com/heke99/gridex-ops-platform/blob/eb9a25bc989c6de808903f41c2314d5465e9c07b/lib/actor-registry/normalizeActor.ts</x:v>
      </x:c>
      <x:c r="K21" s="19" t="str">
        <x:v>Öppen</x:v>
      </x:c>
      <x:c r="L21" s="19" t="str"/>
      <x:c r="M21" s="19" t="str"/>
    </x:row>
    <x:row r="22" ht="50.400001525878906" customHeight="1">
      <x:c r="A22" s="19" t="str">
        <x:v>E018</x:v>
      </x:c>
      <x:c r="B22" s="19" t="str">
        <x:v>P1</x:v>
      </x:c>
      <x:c r="C22" s="19" t="str">
        <x:v>Kodfel</x:v>
      </x:c>
      <x:c r="D22" s="19" t="str">
        <x:v>companies.txt matchar inte CSV-parsern</x:v>
      </x:c>
      <x:c r="E22" s="19" t="str">
        <x:v>CompanyName och upprepade PRODAT/UTILTS-kolumnblock matchar inte parserns rubriker; reproduktion ger 0 namngivna poster.</x:v>
      </x:c>
      <x:c r="F22" s="19" t="str">
        <x:v>Explicit TXT-adapter till samma importmodell, eller tydligt avvisat format tills stöd finns. XML används som rikare huvudkälla.</x:v>
      </x:c>
      <x:c r="G22" s="19" t="str">
        <x:v>Ingen tyst nollimport; rätt formatmeddelande eller verifierad blockparsning. Filändelsebyte får inte räknas som lösning.</x:v>
      </x:c>
      <x:c r="H22" s="19" t="str">
        <x:v>app/admin/ediel/actors/actions.ts</x:v>
      </x:c>
      <x:c r="I22" s="19" t="str">
        <x:v>R3 R-08; companies.txt</x:v>
      </x:c>
      <x:c r="J22" s="19" t="str">
        <x:v>https://github.com/heke99/gridex-ops-platform/blob/eb9a25bc989c6de808903f41c2314d5465e9c07b/app/admin/ediel/actors/actions.ts</x:v>
      </x:c>
      <x:c r="K22" s="19" t="str">
        <x:v>Öppen</x:v>
      </x:c>
      <x:c r="L22" s="19" t="str"/>
      <x:c r="M22" s="19" t="str"/>
    </x:row>
    <x:row r="23" ht="50.400001525878906" customHeight="1">
      <x:c r="A23" s="19" t="str">
        <x:v>E019</x:v>
      </x:c>
      <x:c r="B23" s="19" t="str">
        <x:v>P1</x:v>
      </x:c>
      <x:c r="C23" s="19" t="str">
        <x:v>Konfigurationsavvikelse</x:v>
      </x:c>
      <x:c r="D23" s="19" t="str">
        <x:v>Importstatus bevisar inte komplett eller aktiv import</x:v>
      </x:c>
      <x:c r="E23" s="19" t="str">
        <x:v>Äldre körningar ligger kvar som running. En annan completed-körning bevisar inte korrekt import av dagens rutter. Tom ruttlista kan passera parser/import.</x:v>
      </x:c>
      <x:c r="F23" s="19" t="str">
        <x:v>Stegen uppladdad, parsad, förhandsgranskad, applicerad och ruttverifierad får separata bevis. Lägg till heartbeat, timeout och fullständighetskontroll.</x:v>
      </x:c>
      <x:c r="G23" s="19" t="str">
        <x:v>Avbruten körning flaggas. Ingen aktör/rutt blir sändningsklar endast genom completed. Antal, hash och konflikter går att följa.</x:v>
      </x:c>
      <x:c r="H23" s="19" t="str">
        <x:v>lib/actor-registry/importActorRegistry.ts</x:v>
      </x:c>
      <x:c r="I23" s="19" t="str">
        <x:v>R3 §5 importhistorik; R1/R2/R3 skrivskyddade avläsningar</x:v>
      </x:c>
      <x:c r="J23" s="19" t="str">
        <x:v>https://github.com/heke99/gridex-ops-platform/blob/eb9a25bc989c6de808903f41c2314d5465e9c07b/lib/actor-registry/importActorRegistry.ts</x:v>
      </x:c>
      <x:c r="K23" s="19" t="str">
        <x:v>Öppen</x:v>
      </x:c>
      <x:c r="L23" s="19" t="str"/>
      <x:c r="M23" s="19" t="str"/>
    </x:row>
    <x:row r="24" ht="50.400001525878906" customHeight="1">
      <x:c r="A24" s="19" t="str">
        <x:v>E020</x:v>
      </x:c>
      <x:c r="B24" s="19" t="str">
        <x:v>P0</x:v>
      </x:c>
      <x:c r="C24" s="19" t="str">
        <x:v>Kodfel</x:v>
      </x:c>
      <x:c r="D24" s="19" t="str">
        <x:v>Teknisk och juridisk partsidentitet sammanblandas</x:v>
      </x:c>
      <x:c r="E24" s="19" t="str">
        <x:v>Generiska parsern sätter interchangePartyId till partyId. Officiell export innehåller ombud där identiteterna skiljer sig.</x:v>
      </x:c>
      <x:c r="F24" s="19" t="str">
        <x:v>Separera UNB:s tekniska adress från NAD:s juridiska part, med båda kvalificerarna. Matcha inte bort separata Ediel-identiteter enbart på org.nr.</x:v>
      </x:c>
      <x:c r="G24" s="19" t="str">
        <x:v>Ombudsfallet 62110/82150 bevaras. Gridex 21660 och systemleverantör 92825 får inte sammanblandas. Bilateral behörighet kontrolleras separat.</x:v>
      </x:c>
      <x:c r="H24" s="19" t="str">
        <x:v>lib/actor-registry/parseActorRegistryXml.ts</x:v>
      </x:c>
      <x:c r="I24" s="19" t="str">
        <x:v>R3 §3, R-06; companies.xml; T kap.5</x:v>
      </x:c>
      <x:c r="J24" s="19" t="str">
        <x:v>https://github.com/heke99/gridex-ops-platform/blob/eb9a25bc989c6de808903f41c2314d5465e9c07b/lib/actor-registry/parseActorRegistryXml.ts</x:v>
      </x:c>
      <x:c r="K24" s="19" t="str">
        <x:v>Öppen</x:v>
      </x:c>
      <x:c r="L24" s="19" t="str"/>
      <x:c r="M24" s="19" t="str"/>
    </x:row>
    <x:row r="25" ht="36.599998474121094" customHeight="1">
      <x:c r="A25" s="19" t="str">
        <x:v>E021</x:v>
      </x:c>
      <x:c r="B25" s="19" t="str">
        <x:v>P0</x:v>
      </x:c>
      <x:c r="C25" s="19" t="str">
        <x:v>Konfigurationsavvikelse</x:v>
      </x:c>
      <x:c r="D25" s="19" t="str">
        <x:v>Gridex avsändarsubadress avviker från exporten</x:v>
      </x:c>
      <x:c r="E25" s="19" t="str">
        <x:v>Sparad Z01 använder 21660:ZZ:GRIDEX; exporten 10 september anger ingen subadress. Senare export bevisar inte läget 3 september.</x:v>
      </x:c>
      <x:c r="F25" s="19" t="str">
        <x:v>Avstäm registrerade giltiga avsändaruppgifter och returmatchning tillsammans; skilj känt tom subadress från okänd.</x:v>
      </x:c>
      <x:c r="G25" s="19" t="str">
        <x:v>Sändning och retur till 21660 matchar rätt tenant med verifierade registeruppgifter. Ingen historisk payload skrivs över.</x:v>
      </x:c>
      <x:c r="H25" s="19" t="str"/>
      <x:c r="I25" s="19" t="str">
        <x:v>R3 §3; companies.xml; transport_observations_current.json</x:v>
      </x:c>
      <x:c r="J25" s="19" t="str"/>
      <x:c r="K25" s="19" t="str">
        <x:v>Öppen</x:v>
      </x:c>
      <x:c r="L25" s="19" t="str"/>
      <x:c r="M25" s="19" t="str"/>
    </x:row>
    <x:row r="26" ht="50.400001525878906" customHeight="1">
      <x:c r="A26" s="19" t="str">
        <x:v>E022</x:v>
      </x:c>
      <x:c r="B26" s="19" t="str">
        <x:v>P1</x:v>
      </x:c>
      <x:c r="C26" s="19" t="str">
        <x:v>Konfigurationsavvikelse</x:v>
      </x:c>
      <x:c r="D26" s="19" t="str">
        <x:v>Supplier-inställning har DGI som generell standard</x:v>
      </x:c>
      <x:c r="E26" s="19" t="str">
        <x:v>Inställningen säger supplier men default DGI-PRODAT. Den faktiskt avlästa Z01:an använde DDQ, alltså inte bevisat fel i det skickade fältet.</x:v>
      </x:c>
      <x:c r="F26" s="19" t="str">
        <x:v>Beräkna Application Reference från process, marknad och underordnad roll; gör inte DGI/DDQ till en enda aktörsstandard.</x:v>
      </x:c>
      <x:c r="G26" s="19" t="str">
        <x:v>Leverantörsbyte och tillståndshantering väljer sina olika profiler även när samma aktör har PowerSupplier och ESCO.</x:v>
      </x:c>
      <x:c r="H26" s="19" t="str">
        <x:v>lib/ediel/rulebook/canonicalEdielPolicy.ts</x:v>
      </x:c>
      <x:c r="I26" s="19" t="str">
        <x:v>R1 §6; R3 §3; T kap.5.2.3–5.2.4</x:v>
      </x:c>
      <x:c r="J26" s="19" t="str">
        <x:v>https://github.com/heke99/gridex-ops-platform/blob/eb9a25bc989c6de808903f41c2314d5465e9c07b/lib/ediel/rulebook/canonicalEdielPolicy.ts</x:v>
      </x:c>
      <x:c r="K26" s="19" t="str">
        <x:v>Öppen</x:v>
      </x:c>
      <x:c r="L26" s="19" t="str"/>
      <x:c r="M26" s="19" t="str"/>
    </x:row>
    <x:row r="27" ht="50.400001525878906" customHeight="1">
      <x:c r="A27" s="19" t="str">
        <x:v>E023</x:v>
      </x:c>
      <x:c r="B27" s="19" t="str">
        <x:v>P0</x:v>
      </x:c>
      <x:c r="C27" s="19" t="str">
        <x:v>Verifieringslucka</x:v>
      </x:c>
      <x:c r="D27" s="19" t="str">
        <x:v>Register–rutt–certifikat–tenant-kedjan saknar fullständigt bevis</x:v>
      </x:c>
      <x:c r="E27" s="19" t="str">
        <x:v>27700:s SMTP-adress/PRODAT-subadress stämmer i senare export. party_address_id-länk saknas i avläsningen; full historisk ruttbindning är inte bevisad.</x:v>
      </x:c>
      <x:c r="F27" s="19" t="str">
        <x:v>Lagra versionslåst ruttbeslut med registerkälla och giltighet, teknisk/juridisk adress, certifikatunderlag och tenantidentitet.</x:v>
      </x:c>
      <x:c r="G27" s="19" t="str">
        <x:v>Varje valt ruttvärde kan härledas till en giltig källa. Ingen första-träff-fallback vid tvetydighet. Ändrad rutt kräver nytt beredskapsbevis.</x:v>
      </x:c>
      <x:c r="H27" s="19" t="str">
        <x:v>lib/ediel/routeMaterializer.ts</x:v>
      </x:c>
      <x:c r="I27" s="19" t="str">
        <x:v>R2 §2; R3 §3; T kap.5</x:v>
      </x:c>
      <x:c r="J27" s="19" t="str">
        <x:v>https://github.com/heke99/gridex-ops-platform/blob/eb9a25bc989c6de808903f41c2314d5465e9c07b/lib/ediel/routeMaterializer.ts</x:v>
      </x:c>
      <x:c r="K27" s="19" t="str">
        <x:v>Öppen</x:v>
      </x:c>
      <x:c r="L27" s="19" t="str"/>
      <x:c r="M27" s="19" t="str"/>
    </x:row>
    <x:row r="28" ht="50.400001525878906" customHeight="1">
      <x:c r="A28" s="19" t="str">
        <x:v>E024</x:v>
      </x:c>
      <x:c r="B28" s="19" t="str">
        <x:v>P0</x:v>
      </x:c>
      <x:c r="C28" s="19" t="str">
        <x:v>Verifieringslucka</x:v>
      </x:c>
      <x:c r="D28" s="19" t="str">
        <x:v>Transportincidenten är inte slutligt lokaliserad</x:v>
      </x:c>
      <x:c r="E28" s="19" t="str">
        <x:v>Applikationslogg visar Z01 kölagd via SMTP med y15c68283K1OFMF, inte mottagen Z03. Nätägaren uppger utebliven mottagning. CONTRL/affärssvar saknas i avläsningen.</x:v>
      </x:c>
      <x:c r="F28" s="19" t="str">
        <x:v>Förena runtime-konfiguration, databas, Stratos köspår och mottagarens SMTP/S/MIME/Edielspår. Ingen blind omsändning.</x:v>
      </x:c>
      <x:c r="G28" s="19" t="str">
        <x:v>Incident har styrkt slutligt utfall eller uttryckligt okänt leveransläge med ansvarig. Återförsök/rättelse beslutas utifrån källregler och motpartsspår.</x:v>
      </x:c>
      <x:c r="H28" s="19" t="str"/>
      <x:c r="I28" s="19" t="str">
        <x:v>R2 §2; R3 §2; transport_observations_current.json; H kap.10</x:v>
      </x:c>
      <x:c r="J28" s="19" t="str"/>
      <x:c r="K28" s="19" t="str">
        <x:v>Öppen</x:v>
      </x:c>
      <x:c r="L28" s="19" t="str"/>
      <x:c r="M28" s="19" t="str"/>
    </x:row>
    <x:row r="29" ht="50.400001525878906" customHeight="1">
      <x:c r="A29" s="19" t="str">
        <x:v>E025</x:v>
      </x:c>
      <x:c r="B29" s="19" t="str">
        <x:v>P0</x:v>
      </x:c>
      <x:c r="C29" s="19" t="str">
        <x:v>Konfigurationsavvikelse</x:v>
      </x:c>
      <x:c r="D29" s="19" t="str">
        <x:v>Två olika Message-ID i samma sändningsspår</x:v>
      </x:c>
      <x:c r="E29" s="19" t="str">
        <x:v>Rå-MIME-förhandsloggen och Nodemailer-resultatet använder olika Message-ID.</x:v>
      </x:c>
      <x:c r="F29" s="19" t="str">
        <x:v>Ett stabilt RFC Message-ID binds till exakt sänd EML. Leverantörens kö-/försöks-id lagras i egna fält.</x:v>
      </x:c>
      <x:c r="G29" s="19" t="str">
        <x:v>Råmejl, SMTP-logg, outbox och leveransfel kan korreleras utan id-gissning. Båda historiska id:n bevaras.</x:v>
      </x:c>
      <x:c r="H29" s="19" t="str">
        <x:v>lib/email/sendEdielEmail.ts</x:v>
      </x:c>
      <x:c r="I29" s="19" t="str">
        <x:v>R2 §2; R3 §2</x:v>
      </x:c>
      <x:c r="J29" s="19" t="str">
        <x:v>https://github.com/heke99/gridex-ops-platform/blob/eb9a25bc989c6de808903f41c2314d5465e9c07b/lib/email/sendEdielEmail.ts</x:v>
      </x:c>
      <x:c r="K29" s="19" t="str">
        <x:v>Öppen</x:v>
      </x:c>
      <x:c r="L29" s="19" t="str"/>
      <x:c r="M29" s="19" t="str"/>
    </x:row>
    <x:row r="30" ht="50.400001525878906" customHeight="1">
      <x:c r="A30" s="19" t="str">
        <x:v>E026</x:v>
      </x:c>
      <x:c r="B30" s="19" t="str">
        <x:v>P0</x:v>
      </x:c>
      <x:c r="C30" s="19" t="str">
        <x:v>Verifieringslucka</x:v>
      </x:c>
      <x:c r="D30" s="19" t="str">
        <x:v>Exakt skickat råmejl går inte att återställa från kontrollerat spår</x:v>
      </x:c>
      <x:c r="E30" s="19" t="str">
        <x:v>Granskad S/MIME-post har hash och smtp-smime://-referens, men inte själva krypterade bytes eller full EML. Annat arkiv är inte verifierat.</x:v>
      </x:c>
      <x:c r="F30" s="19" t="str">
        <x:v>Arkivera exakt färdig EML och EDIFACT-bytes åtkomstskyddat med hash före sändning. Följ retention utan generella payloadutskrifter.</x:v>
      </x:c>
      <x:c r="G30" s="19" t="str">
        <x:v>Det faktiska sändningsunderlaget kan verifieras byte för byte. Arkivfel efter SMTP250 får inte initiera en ny affärssändning.</x:v>
      </x:c>
      <x:c r="H30" s="19" t="str">
        <x:v>lib/ediel/transport/index.part-2.ts</x:v>
      </x:c>
      <x:c r="I30" s="19" t="str">
        <x:v>R2 §2; R3 §6; T kap.7.7</x:v>
      </x:c>
      <x:c r="J30" s="19" t="str">
        <x:v>https://github.com/heke99/gridex-ops-platform/blob/eb9a25bc989c6de808903f41c2314d5465e9c07b/lib/ediel/transport/index.part-2.ts</x:v>
      </x:c>
      <x:c r="K30" s="19" t="str">
        <x:v>Öppen</x:v>
      </x:c>
      <x:c r="L30" s="19" t="str"/>
      <x:c r="M30" s="19" t="str"/>
    </x:row>
    <x:row r="31" ht="50.400001525878906" customHeight="1">
      <x:c r="A31" s="19" t="str">
        <x:v>E027</x:v>
      </x:c>
      <x:c r="B31" s="19" t="str">
        <x:v>P0</x:v>
      </x:c>
      <x:c r="C31" s="19" t="str">
        <x:v>Kodfel</x:v>
      </x:c>
      <x:c r="D31" s="19" t="str">
        <x:v>Leveransfel saknar dedikerad DSN-korrelation</x:v>
      </x:c>
      <x:c r="E31" s="19" t="str">
        <x:v>Granskad processor behandlar mejl utan EDIFACT som generell manuell granskning. Ingen särskild delivery-status-gren hittades där.</x:v>
      </x:c>
      <x:c r="F31" s="19" t="str">
        <x:v>Identifiera DSN före affärspayload, koppla transportfel till rätt försök och skapa incident. Originalbilaga i returbrev får inte behandlas som nytt affärsmeddelande.</x:v>
      </x:c>
      <x:c r="G31" s="19" t="str">
        <x:v>Bounced/delayed rapporter uppdaterar transportläget, inte kundens leveransstatus. Dubblett-DSN skapar inte dubbla incidenter.</x:v>
      </x:c>
      <x:c r="H31" s="19" t="str">
        <x:v>lib/inbound-mail/edielInboundProcessor.ts</x:v>
      </x:c>
      <x:c r="I31" s="19" t="str">
        <x:v>R2 F05; T bilaga A s.55–56</x:v>
      </x:c>
      <x:c r="J31" s="19" t="str">
        <x:v>https://github.com/heke99/gridex-ops-platform/blob/eb9a25bc989c6de808903f41c2314d5465e9c07b/lib/inbound-mail/edielInboundProcessor.ts</x:v>
      </x:c>
      <x:c r="K31" s="19" t="str">
        <x:v>Öppen</x:v>
      </x:c>
      <x:c r="L31" s="19" t="str"/>
      <x:c r="M31" s="19" t="str"/>
    </x:row>
    <x:row r="32" ht="50.400001525878906" customHeight="1">
      <x:c r="A32" s="19" t="str">
        <x:v>E028</x:v>
      </x:c>
      <x:c r="B32" s="19" t="str">
        <x:v>P2</x:v>
      </x:c>
      <x:c r="C32" s="19" t="str">
        <x:v>Förtydligande</x:v>
      </x:c>
      <x:c r="D32" s="19" t="str">
        <x:v>Tom Skickat-mapp bevisar inte att inget skickats</x:v>
      </x:c>
      <x:c r="E32" s="19" t="str">
        <x:v>Granskad SMTP-funktion gör ingen separat IMAP APPEND. Denna arkivfunktion är inte ett Edielkvittenskrav.</x:v>
      </x:c>
      <x:c r="F32" s="19" t="str">
        <x:v>Använd utväxlingslogg och serverbevis som auktoritet. En IMAP-kopia kan läggas till som separat, icke-affärsdrivande funktion.</x:v>
      </x:c>
      <x:c r="G32" s="19" t="str">
        <x:v>Skickat-kopia eller dess fel påverkar inte sändningsbeslut. UI förklarar SMTP accepterat respektive mottaget/kvittenserat.</x:v>
      </x:c>
      <x:c r="H32" s="19" t="str">
        <x:v>lib/email/sendEdielEmail.ts</x:v>
      </x:c>
      <x:c r="I32" s="19" t="str">
        <x:v>R3 §2; RFC9051 APPEND; T kap.7.7</x:v>
      </x:c>
      <x:c r="J32" s="19" t="str">
        <x:v>https://github.com/heke99/gridex-ops-platform/blob/eb9a25bc989c6de808903f41c2314d5465e9c07b/lib/email/sendEdielEmail.ts</x:v>
      </x:c>
      <x:c r="K32" s="19" t="str">
        <x:v>Klargjord</x:v>
      </x:c>
      <x:c r="L32" s="19" t="str"/>
      <x:c r="M32" s="19" t="str"/>
    </x:row>
    <x:row r="33" ht="50.400001525878906" customHeight="1">
      <x:c r="A33" s="19" t="str">
        <x:v>E029</x:v>
      </x:c>
      <x:c r="B33" s="19" t="str">
        <x:v>P0</x:v>
      </x:c>
      <x:c r="C33" s="19" t="str">
        <x:v>Kodfel</x:v>
      </x:c>
      <x:c r="D33" s="19" t="str">
        <x:v>Certifikatens tidsgränser kontrolleras fel</x:v>
      </x:c>
      <x:c r="E33" s="19" t="str">
        <x:v>valid_from stoppar inte för tidig användning. Math.ceil över hela dagar kan godkänna certifikat efter faktisk utgång.</x:v>
      </x:c>
      <x:c r="F33" s="19" t="str">
        <x:v>Jämför exakta tidpunkter mot verifierade certifikatdata. Håll varningsfönster skilt från giltighetsbeslut.</x:v>
      </x:c>
      <x:c r="G33" s="19" t="str">
        <x:v>Inte-giltigt-än, gränstid och utgånget-certifikatfall får korrekt resultat utan dygnsavrundning i säkerhetsbeslutet.</x:v>
      </x:c>
      <x:c r="H33" s="19" t="str">
        <x:v>lib/ediel/security/certificateStatus.ts</x:v>
      </x:c>
      <x:c r="I33" s="19" t="str">
        <x:v>R2 F03; T bilaga A.3.2.1</x:v>
      </x:c>
      <x:c r="J33" s="19" t="str">
        <x:v>https://github.com/heke99/gridex-ops-platform/blob/eb9a25bc989c6de808903f41c2314d5465e9c07b/lib/ediel/security/certificateStatus.ts</x:v>
      </x:c>
      <x:c r="K33" s="19" t="str">
        <x:v>Öppen</x:v>
      </x:c>
      <x:c r="L33" s="19" t="str"/>
      <x:c r="M33" s="19" t="str"/>
    </x:row>
    <x:row r="34" ht="50.400001525878906" customHeight="1">
      <x:c r="A34" s="19" t="str">
        <x:v>E030</x:v>
      </x:c>
      <x:c r="B34" s="19" t="str">
        <x:v>P0</x:v>
      </x:c>
      <x:c r="C34" s="19" t="str">
        <x:v>Kodfel</x:v>
      </x:c>
      <x:c r="D34" s="19" t="str">
        <x:v>Revoked stoppar inte certifikathjälpfunktionen</x:v>
      </x:c>
      <x:c r="E34" s="19" t="str">
        <x:v>Den lästa hjälpfunktionen stoppar inte explicit revoked; vald-id-vägen har inte samma kandidatfilter. Övriga skydd kan finnas.</x:v>
      </x:c>
      <x:c r="F34" s="19" t="str">
        <x:v>Ha en gemensam validerare för uttryckligt id och sökning: status, betrodd CA, tidsgräns, spärrkontroll och adress.</x:v>
      </x:c>
      <x:c r="G34" s="19" t="str">
        <x:v>Ett spärrat certifikat används aldrig för kryptering, oavsett hur det valdes. Alla anropsvägar använder samma beslut.</x:v>
      </x:c>
      <x:c r="H34" s="19" t="str">
        <x:v>lib/ediel/security/outboundRecipientCertificate.ts</x:v>
      </x:c>
      <x:c r="I34" s="19" t="str">
        <x:v>R2 F03; T bilaga A.3</x:v>
      </x:c>
      <x:c r="J34" s="19" t="str">
        <x:v>https://github.com/heke99/gridex-ops-platform/blob/eb9a25bc989c6de808903f41c2314d5465e9c07b/lib/ediel/security/outboundRecipientCertificate.ts</x:v>
      </x:c>
      <x:c r="K34" s="19" t="str">
        <x:v>Öppen</x:v>
      </x:c>
      <x:c r="L34" s="19" t="str"/>
      <x:c r="M34" s="19" t="str"/>
    </x:row>
    <x:row r="35" ht="50.400001525878906" customHeight="1">
      <x:c r="A35" s="19" t="str">
        <x:v>E031</x:v>
      </x:c>
      <x:c r="B35" s="19" t="str">
        <x:v>P0</x:v>
      </x:c>
      <x:c r="C35" s="19" t="str">
        <x:v>Verifieringslucka</x:v>
      </x:c>
      <x:c r="D35" s="19" t="str">
        <x:v>TLS, SPF och certifikatkedja inte bevisade hela vägen</x:v>
      </x:c>
      <x:c r="E35" s="19" t="str">
        <x:v>Klient-TLS/konfigurationsrader bevisar inte TLS mellan reläerna, aktuell SPF, CA/CRL eller nätägarens avkryptering.</x:v>
      </x:c>
      <x:c r="F35" s="19" t="str">
        <x:v>Verifiera faktiska transportegenskaper och certifikatkontroll med loggar utan att exponera hemligheter.</x:v>
      </x:c>
      <x:c r="G35" s="19" t="str">
        <x:v>Relä-TLS, avsändardomän och certifikatbevis finns för produktionsvägen. Ett SMTP TCP-test får inte ensamt ge grönt.</x:v>
      </x:c>
      <x:c r="H35" s="19" t="str">
        <x:v>lib/ediel/mailReadiness.ts</x:v>
      </x:c>
      <x:c r="I35" s="19" t="str">
        <x:v>R2/R3 transportluckor; T kap.3.1 och bilaga A</x:v>
      </x:c>
      <x:c r="J35" s="19" t="str">
        <x:v>https://github.com/heke99/gridex-ops-platform/blob/eb9a25bc989c6de808903f41c2314d5465e9c07b/lib/ediel/mailReadiness.ts</x:v>
      </x:c>
      <x:c r="K35" s="19" t="str">
        <x:v>Öppen</x:v>
      </x:c>
      <x:c r="L35" s="19" t="str"/>
      <x:c r="M35" s="19" t="str"/>
    </x:row>
    <x:row r="36" ht="50.400001525878906" customHeight="1">
      <x:c r="A36" s="19" t="str">
        <x:v>E032</x:v>
      </x:c>
      <x:c r="B36" s="19" t="str">
        <x:v>P1</x:v>
      </x:c>
      <x:c r="C36" s="19" t="str">
        <x:v>Kodfel</x:v>
      </x:c>
      <x:c r="D36" s="19" t="str">
        <x:v>Krypteringsvägen väljer endast ett mottagarcertifikat</x:v>
      </x:c>
      <x:c r="E36" s="19" t="str">
        <x:v>Den lästa vägen skickar ett mottagar-PEM till krypteringen. Faktiskt certifikatöverlapp i incidenten är inte belagt.</x:v>
      </x:c>
      <x:c r="F36" s="19" t="str">
        <x:v>Bygg CMS för samtliga tillgängliga giltiga mottagarcertifikat enligt anvisningens överlappningsregler.</x:v>
      </x:c>
      <x:c r="G36" s="19" t="str">
        <x:v>Två samtidigt giltiga certifikat ger rätt RecipientInfos och meddelandet kan dekrypteras med respektive nyckel i isolerat prov.</x:v>
      </x:c>
      <x:c r="H36" s="19" t="str">
        <x:v>lib/ediel/transport/index.part-2.ts</x:v>
      </x:c>
      <x:c r="I36" s="19" t="str">
        <x:v>R2 F04; T s.44</x:v>
      </x:c>
      <x:c r="J36" s="19" t="str">
        <x:v>https://github.com/heke99/gridex-ops-platform/blob/eb9a25bc989c6de808903f41c2314d5465e9c07b/lib/ediel/transport/index.part-2.ts</x:v>
      </x:c>
      <x:c r="K36" s="19" t="str">
        <x:v>Öppen</x:v>
      </x:c>
      <x:c r="L36" s="19" t="str"/>
      <x:c r="M36" s="19" t="str"/>
    </x:row>
    <x:row r="37" ht="50.400001525878906" customHeight="1">
      <x:c r="A37" s="19" t="str">
        <x:v>E033</x:v>
      </x:c>
      <x:c r="B37" s="19" t="str">
        <x:v>P0</x:v>
      </x:c>
      <x:c r="C37" s="19" t="str">
        <x:v>Förtydligande</x:v>
      </x:c>
      <x:c r="D37" s="19" t="str">
        <x:v>Säkerhetsreglernas uttryckliga undantag måste ingå</x:v>
      </x:c>
      <x:c r="E37" s="19" t="str">
        <x:v>Tidigare huvudregel om PRODAT-kryptering får inte omformuleras till att anvisningen saknar reservförfarande. T s.20,44 beskriver tillfälligt fel/inget certifikat och tidigare CRL.</x:v>
      </x:c>
      <x:c r="F37" s="19" t="str">
        <x:v>Implementera uttryckligt versionsstyrt reservförfarande med larm, dokumenterade villkor och fortsatt relä-TLS. Ingen tyst generell nedgradering.</x:v>
      </x:c>
      <x:c r="G37" s="19" t="str">
        <x:v>CRL-hämtningsfel använder föreskrivet tidigare CRL-underlag med larm. Undantagsfall för meddelandekryptering särskiljs från normalläge och från krav på TLS.</x:v>
      </x:c>
      <x:c r="H37" s="19" t="str"/>
      <x:c r="I37" s="19" t="str">
        <x:v>Precisering i denna sammanställning; T s.20,44</x:v>
      </x:c>
      <x:c r="J37" s="19" t="str"/>
      <x:c r="K37" s="19" t="str">
        <x:v>Klargjord</x:v>
      </x:c>
      <x:c r="L37" s="19" t="str"/>
      <x:c r="M37" s="19" t="str"/>
    </x:row>
    <x:row r="38" ht="50.400001525878906" customHeight="1">
      <x:c r="A38" s="19" t="str">
        <x:v>E034</x:v>
      </x:c>
      <x:c r="B38" s="19" t="str">
        <x:v>P0</x:v>
      </x:c>
      <x:c r="C38" s="19" t="str">
        <x:v>Kodfel</x:v>
      </x:c>
      <x:c r="D38" s="19" t="str">
        <x:v>Olika regelrevision kan väljas i olika lager</x:v>
      </x:c>
      <x:c r="E38" s="19" t="str">
        <x:v>runtimeDecision använder först DTM+137; utiltsEngine använder mottagningstid när inget explicit datum ges. Samma upplösta beslut skickas inte vidare.</x:v>
      </x:c>
      <x:c r="F38" s="19" t="str">
        <x:v>Ett gemensamt versionsbeslut för transport, guide, affärsregler och fältaktivering. Skilj ny sändning, svar, mottagningsövergång och historisk återspelning.</x:v>
      </x:c>
      <x:c r="G38" s="19" t="str">
        <x:v>Fall 30 september/1 oktober och efter tvåveckorsfönstret använder konsekvent dokumenterat beslut i alla lager. Historiskt test aktiverar inte gamla regler i ny produktion.</x:v>
      </x:c>
      <x:c r="H38" s="19" t="str">
        <x:v>lib/ediel/utiltsEngine.ts</x:v>
      </x:c>
      <x:c r="I38" s="19" t="str">
        <x:v>R2 F07; T kap.1.4; U giltighet och ändringslogg</x:v>
      </x:c>
      <x:c r="J38" s="19" t="str">
        <x:v>https://github.com/heke99/gridex-ops-platform/blob/eb9a25bc989c6de808903f41c2314d5465e9c07b/lib/ediel/utiltsEngine.ts</x:v>
      </x:c>
      <x:c r="K38" s="19" t="str">
        <x:v>Öppen</x:v>
      </x:c>
      <x:c r="L38" s="19" t="str"/>
      <x:c r="M38" s="19" t="str"/>
    </x:row>
    <x:row r="39" ht="50.400001525878906" customHeight="1">
      <x:c r="A39" s="19" t="str">
        <x:v>E035</x:v>
      </x:c>
      <x:c r="B39" s="19" t="str">
        <x:v>P0</x:v>
      </x:c>
      <x:c r="C39" s="19" t="str">
        <x:v>Verifieringslucka</x:v>
      </x:c>
      <x:c r="D39" s="19" t="str">
        <x:v>Strukturkontrollflagga bevisar inte E61/E62-beteende</x:v>
      </x:c>
      <x:c r="E39" s="19" t="str">
        <x:v>validateMeterAndRegisterAgainstStructuralInformation hittades i definition/tester, utan verifierad operativ konsument i granskningen. Det bevisar inte att alla motsvarande kontroller saknas.</x:v>
      </x:c>
      <x:c r="F39" s="19" t="str">
        <x:v>Spårbar kontroll av mätare/register mot daterad strukturinformation; ta bort frikopplade flaggor eller anslut dem.</x:v>
      </x:c>
      <x:c r="G39" s="19" t="str">
        <x:v>Rätt/fel mätarnummer, saknat/extra register och strukturbyte ger korrekt transaktionsutfall enligt vald guide.</x:v>
      </x:c>
      <x:c r="H39" s="19" t="str">
        <x:v>lib/ediel/rulebook/utilts25A4.ts</x:v>
      </x:c>
      <x:c r="I39" s="19" t="str">
        <x:v>R2 F08; U bilaga 2</x:v>
      </x:c>
      <x:c r="J39" s="19" t="str">
        <x:v>https://github.com/heke99/gridex-ops-platform/blob/eb9a25bc989c6de808903f41c2314d5465e9c07b/lib/ediel/rulebook/utilts25A4.ts</x:v>
      </x:c>
      <x:c r="K39" s="19" t="str">
        <x:v>Öppen</x:v>
      </x:c>
      <x:c r="L39" s="19" t="str"/>
      <x:c r="M39" s="19" t="str"/>
    </x:row>
    <x:row r="40" ht="50.400001525878906" customHeight="1">
      <x:c r="A40" s="19" t="str">
        <x:v>E036</x:v>
      </x:c>
      <x:c r="B40" s="19" t="str">
        <x:v>P0</x:v>
      </x:c>
      <x:c r="C40" s="19" t="str">
        <x:v>Verifieringslucka</x:v>
      </x:c>
      <x:c r="D40" s="19" t="str">
        <x:v>Global felprioritet kan dölja anvisningsfel</x:v>
      </x:c>
      <x:c r="E40" s="19" t="str">
        <x:v>Återläst utiltsEngine sammanfattar functional före application. Slutliga transaktionssvar och headerfelspärr är inte verifierade av detta ensamt.</x:v>
      </x:c>
      <x:c r="F40" s="19" t="str">
        <x:v>Låt anvisningens kontrollordning styra per huvud och transaktion. Sammanfattningsstatus får aldrig ersätta detaljerade utfall.</x:v>
      </x:c>
      <x:c r="G40" s="19" t="str">
        <x:v>Headerfel ger negativ APERAK för hela meddelandet och ingen fortsatt funktionskontroll. En guidefelaktig transaktion ger inte ERR för ett senare funktionsfel. Friska syskon hanteras separat.</x:v>
      </x:c>
      <x:c r="H40" s="19" t="str">
        <x:v>lib/ediel/utiltsEngine.ts</x:v>
      </x:c>
      <x:c r="I40" s="19" t="str">
        <x:v>Kod återläst i denna sammanställning, rader80–126; U s.101–107</x:v>
      </x:c>
      <x:c r="J40" s="19" t="str">
        <x:v>https://github.com/heke99/gridex-ops-platform/blob/eb9a25bc989c6de808903f41c2314d5465e9c07b/lib/ediel/utiltsEngine.ts</x:v>
      </x:c>
      <x:c r="K40" s="19" t="str">
        <x:v>Öppen</x:v>
      </x:c>
      <x:c r="L40" s="19" t="str"/>
      <x:c r="M40" s="19" t="str"/>
    </x:row>
    <x:row r="41" ht="50.400001525878906" customHeight="1">
      <x:c r="A41" s="19" t="str">
        <x:v>E037</x:v>
      </x:c>
      <x:c r="B41" s="19" t="str">
        <x:v>P0</x:v>
      </x:c>
      <x:c r="C41" s="19" t="str">
        <x:v>Verifieringslucka</x:v>
      </x:c>
      <x:c r="D41" s="19" t="str">
        <x:v>Full transaktions-, lagrings- och rättelsekedja inte godkänd</x:v>
      </x:c>
      <x:c r="E41" s="19" t="str">
        <x:v>Ingen full E2E med blandade korrekta/felaktiga transaktioner, kvittens efter lagring och nyare/äldre värden har bevisats.</x:v>
      </x:c>
      <x:c r="F41" s="19" t="str">
        <x:v>Transaktionsvisa slutbeslut, atomär lagring och kvittensavsikt. Särskilj godkänt men äldre värde från overwrite och från internt databashaveri.</x:v>
      </x:c>
      <x:c r="G41" s="19" t="str">
        <x:v>Positivt svar bygger på föreskriven behandling; gamla korrekta värden avvisas inte enbart för sen ankomst och skriver inte över nyare. Interna fel genererar inte påhittat motpartsfel.</x:v>
      </x:c>
      <x:c r="H41" s="19" t="str">
        <x:v>lib/ediel/utiltsEngine.ts</x:v>
      </x:c>
      <x:c r="I41" s="19" t="str">
        <x:v>R1 §7–9; R2 §4; U s.107</x:v>
      </x:c>
      <x:c r="J41" s="19" t="str">
        <x:v>https://github.com/heke99/gridex-ops-platform/blob/eb9a25bc989c6de808903f41c2314d5465e9c07b/lib/ediel/utiltsEngine.ts</x:v>
      </x:c>
      <x:c r="K41" s="19" t="str">
        <x:v>Öppen</x:v>
      </x:c>
      <x:c r="L41" s="19" t="str"/>
      <x:c r="M41" s="19" t="str"/>
    </x:row>
    <x:row r="42" ht="50.400001525878906" customHeight="1">
      <x:c r="A42" s="19" t="str">
        <x:v>E038</x:v>
      </x:c>
      <x:c r="B42" s="19" t="str">
        <x:v>P0</x:v>
      </x:c>
      <x:c r="C42" s="19" t="str">
        <x:v>Verifieringslucka</x:v>
      </x:c>
      <x:c r="D42" s="19" t="str">
        <x:v>Kodkatalogerna är inte utbytbara eller komplett oktoberbevis</x:v>
      </x:c>
      <x:c r="E42" s="19" t="str">
        <x:v>Numerisk produktkodlista, L-tidsserieprodukt, energiprodukt-id och räkneverkskod är olika. 20250528-listan har inte L654Q som PRODAT anger från oktober.</x:v>
      </x:c>
      <x:c r="F42" s="19" t="str">
        <x:v>Separata typade kodrymder med källa, giltighet och kombinationer; tillägg genom källbelagt revisionsbeslut.</x:v>
      </x:c>
      <x:c r="G42" s="19" t="str">
        <x:v>L639Q/E31, L917:s ValueNo och registerkoder används i rätt sammanhang. L654Q tidsstyrs, inte aktiveras genom filnamn eller gissning.</x:v>
      </x:c>
      <x:c r="H42" s="19" t="str"/>
      <x:c r="I42" s="19" t="str">
        <x:v>R1 §5; R3 §8; P 26.A.2; TSP20250528; RK1.7; PK4.12</x:v>
      </x:c>
      <x:c r="J42" s="19" t="str"/>
      <x:c r="K42" s="19" t="str">
        <x:v>Öppen</x:v>
      </x:c>
      <x:c r="L42" s="19" t="str"/>
      <x:c r="M42" s="19" t="str"/>
    </x:row>
    <x:row r="43" ht="50.400001525878906" customHeight="1">
      <x:c r="A43" s="19" t="str">
        <x:v>E039</x:v>
      </x:c>
      <x:c r="B43" s="19" t="str">
        <x:v>P1</x:v>
      </x:c>
      <x:c r="C43" s="19" t="str">
        <x:v>Verifieringslucka</x:v>
      </x:c>
      <x:c r="D43" s="19" t="str">
        <x:v>Pensionerade och bilaterala flöden kräver uttrycklig behörighet</x:v>
      </x:c>
      <x:c r="E43" s="19" t="str">
        <x:v>Katalogdefinitioner är inte fulla exekveringsbevis. S06 är inte taget i bruk; S08 är historiskt efter 14 april 2026. E73 kräver rätt efterfrågat meddelande och avtalat stöd.</x:v>
      </x:c>
      <x:c r="F43" s="19" t="str">
        <x:v>Kapabilitetsmatris per marknad, roll, riktning och datum. Ingen automatisk aktivering av allt som en parser känner igen.</x:v>
      </x:c>
      <x:c r="G43" s="19" t="str">
        <x:v>S06 skapas inte som normalt svenskt produktionsflöde. S08 återspelas endast isolerat. E73 använder begärd S02/E66 och dess Application Reference enligt tillämplig regel.</x:v>
      </x:c>
      <x:c r="H43" s="19" t="str">
        <x:v>lib/ediel/rulebook/utiltsMarketSemantics.ts</x:v>
      </x:c>
      <x:c r="I43" s="19" t="str">
        <x:v>R2 §4; U kap.3.3 och ändringslogg; T 5.2.4</x:v>
      </x:c>
      <x:c r="J43" s="19" t="str">
        <x:v>https://github.com/heke99/gridex-ops-platform/blob/eb9a25bc989c6de808903f41c2314d5465e9c07b/lib/ediel/rulebook/utiltsMarketSemantics.ts</x:v>
      </x:c>
      <x:c r="K43" s="19" t="str">
        <x:v>Öppen</x:v>
      </x:c>
      <x:c r="L43" s="19" t="str"/>
      <x:c r="M43" s="19" t="str"/>
    </x:row>
    <x:row r="44" ht="36.599998474121094" customHeight="1">
      <x:c r="A44" s="19" t="str">
        <x:v>E040</x:v>
      </x:c>
      <x:c r="B44" s="19" t="str">
        <x:v>P1</x:v>
      </x:c>
      <x:c r="C44" s="19" t="str">
        <x:v>Kodfel</x:v>
      </x:c>
      <x:c r="D44" s="19" t="str">
        <x:v>AI-huvudet följer avsändare i stället för fasta roller</x:v>
      </x:c>
      <x:c r="E44" s="19" t="str">
        <x:v>Byggaren sätter avsändare först, men huvudet ska ha elnätsföretaget först och elhandelsföretaget sedan oavsett sändningsriktning.</x:v>
      </x:c>
      <x:c r="F44" s="19" t="str">
        <x:v>Rollstyrt huvud, separat från filnamnets avsändare/mottagare.</x:v>
      </x:c>
      <x:c r="G44" s="19" t="str">
        <x:v>AI i båda riktningarna har samma rollordning i huvudet; filnamnet följer sina egna regler.</x:v>
      </x:c>
      <x:c r="H44" s="19" t="str">
        <x:v>lib/ediel/aiList.ts</x:v>
      </x:c>
      <x:c r="I44" s="19" t="str">
        <x:v>R2 F06; AI s.7–9</x:v>
      </x:c>
      <x:c r="J44" s="19" t="str">
        <x:v>https://github.com/heke99/gridex-ops-platform/blob/eb9a25bc989c6de808903f41c2314d5465e9c07b/lib/ediel/aiList.ts</x:v>
      </x:c>
      <x:c r="K44" s="19" t="str">
        <x:v>Öppen</x:v>
      </x:c>
      <x:c r="L44" s="19" t="str"/>
      <x:c r="M44" s="19" t="str"/>
    </x:row>
    <x:row r="45" ht="50.400001525878906" customHeight="1">
      <x:c r="A45" s="19" t="str">
        <x:v>E041</x:v>
      </x:c>
      <x:c r="B45" s="19" t="str">
        <x:v>P1</x:v>
      </x:c>
      <x:c r="C45" s="19" t="str">
        <x:v>Kodfel</x:v>
      </x:c>
      <x:c r="D45" s="19" t="str">
        <x:v>AI bygger marknadsidentiteter från interna UUID/namn</x:v>
      </x:c>
      <x:c r="E45" s="19" t="str">
        <x:v>site.customer_id används för elanvändar-id, site.site_name för kundnamn och site.id kan bli GS1-märkt anläggnings-id.</x:v>
      </x:c>
      <x:c r="F45" s="19" t="str">
        <x:v>Hämta verifierad juridisk kundidentitet och faktisk anläggningsidentitet; inga platshållare som ser godkända ut.</x:v>
      </x:c>
      <x:c r="G45" s="19" t="str">
        <x:v>Saknade identiteter blockerar export tydligt. Internt UUID hamnar aldrig som personnummer eller GS1-id. Skyddad identitet följer särskilda regler.</x:v>
      </x:c>
      <x:c r="H45" s="19" t="str">
        <x:v>lib/ediel/aiList.ts</x:v>
      </x:c>
      <x:c r="I45" s="19" t="str">
        <x:v>R2 F06; AI s.8–9; P bilaga 3</x:v>
      </x:c>
      <x:c r="J45" s="19" t="str">
        <x:v>https://github.com/heke99/gridex-ops-platform/blob/eb9a25bc989c6de808903f41c2314d5465e9c07b/lib/ediel/aiList.ts</x:v>
      </x:c>
      <x:c r="K45" s="19" t="str">
        <x:v>Öppen</x:v>
      </x:c>
      <x:c r="L45" s="19" t="str"/>
      <x:c r="M45" s="19" t="str"/>
    </x:row>
    <x:row r="46" ht="50.400001525878906" customHeight="1">
      <x:c r="A46" s="19" t="str">
        <x:v>E042</x:v>
      </x:c>
      <x:c r="B46" s="19" t="str">
        <x:v>P1</x:v>
      </x:c>
      <x:c r="C46" s="19" t="str">
        <x:v>Kodfel</x:v>
      </x:c>
      <x:c r="D46" s="19" t="str">
        <x:v>Sex AI-fält fylls trots att leverantören ska lämna dem tomma</x:v>
      </x:c>
      <x:c r="E46" s="19" t="str">
        <x:v>Mätarnummer, avräkningsmetod, årsenergi, rapporteringsfrekvens, mätmetod och produktkod är inte korrekt avsändarrollstyrda.</x:v>
      </x:c>
      <x:c r="F46" s="19" t="str">
        <x:v>Separat fältprofil för elhandelsföretag och elnätsföretag.</x:v>
      </x:c>
      <x:c r="G46" s="19" t="str">
        <x:v>Leverantörens sex fält är tomma men alla separatorer finns kvar. Nätägarprofilen kräver eller tillåter sina värden enligt anvisningen.</x:v>
      </x:c>
      <x:c r="H46" s="19" t="str">
        <x:v>lib/ediel/aiList.ts</x:v>
      </x:c>
      <x:c r="I46" s="19" t="str">
        <x:v>R2 F06; AI s.8–9</x:v>
      </x:c>
      <x:c r="J46" s="19" t="str">
        <x:v>https://github.com/heke99/gridex-ops-platform/blob/eb9a25bc989c6de808903f41c2314d5465e9c07b/lib/ediel/aiList.ts</x:v>
      </x:c>
      <x:c r="K46" s="19" t="str">
        <x:v>Öppen</x:v>
      </x:c>
      <x:c r="L46" s="19" t="str"/>
      <x:c r="M46" s="19" t="str"/>
    </x:row>
    <x:row r="47" ht="50.400001525878906" customHeight="1">
      <x:c r="A47" s="19" t="str">
        <x:v>E043</x:v>
      </x:c>
      <x:c r="B47" s="19" t="str">
        <x:v>P1</x:v>
      </x:c>
      <x:c r="C47" s="19" t="str">
        <x:v>Kodfel</x:v>
      </x:c>
      <x:c r="D47" s="19" t="str">
        <x:v>AI-produkt och mätmetod härleds från fel domän</x:v>
      </x:c>
      <x:c r="E47" s="19" t="str">
        <x:v>Energiprodukt-id används som tidsserieprodukt. Byggaren kopplar reading_frequency daily till Z04, vilket inte bevisar kvartsmätning.</x:v>
      </x:c>
      <x:c r="F47" s="19" t="str">
        <x:v>Bär separat mätmetod, upplösning, avräkningsmetod och rapporteringsfrekvens. Använd rätt kodkälla när rollen ska fylla fältet.</x:v>
      </x:c>
      <x:c r="G47" s="19" t="str">
        <x:v>Dygnsrapportering förväxlas inte med mätmetod. Ingen 8716867000030/31 sätts i AI:s tidsserieproduktfält. Leverantörsfältet lämnas tomt.</x:v>
      </x:c>
      <x:c r="H47" s="19" t="str">
        <x:v>lib/ediel/aiList.ts</x:v>
      </x:c>
      <x:c r="I47" s="19" t="str">
        <x:v>R2 F06; läst byggarkod; AI s.9; TSP20250528</x:v>
      </x:c>
      <x:c r="J47" s="19" t="str">
        <x:v>https://github.com/heke99/gridex-ops-platform/blob/eb9a25bc989c6de808903f41c2314d5465e9c07b/lib/ediel/aiList.ts</x:v>
      </x:c>
      <x:c r="K47" s="19" t="str">
        <x:v>Öppen</x:v>
      </x:c>
      <x:c r="L47" s="19" t="str"/>
      <x:c r="M47" s="19" t="str"/>
    </x:row>
    <x:row r="48" ht="50.400001525878906" customHeight="1">
      <x:c r="A48" s="19" t="str">
        <x:v>E044</x:v>
      </x:c>
      <x:c r="B48" s="19" t="str">
        <x:v>P1</x:v>
      </x:c>
      <x:c r="C48" s="19" t="str">
        <x:v>Verifieringslucka</x:v>
      </x:c>
      <x:c r="D48" s="19" t="str">
        <x:v>AI-perioder och flera historiska rader inte beteendeverifierade</x:v>
      </x:c>
      <x:c r="E48" s="19" t="str">
        <x:v>Den granskade exportvägen bygger från en site; komplett periodurval och strukturhistorik har inte E2E-verifierats.</x:v>
      </x:c>
      <x:c r="F48" s="19" t="str">
        <x:v>Urval över leverans- och strukturperioder, halvöppna intervall och rätt blankdatum på detaljnivå.</x:v>
      </x:c>
      <x:c r="G48" s="19" t="str">
        <x:v>Ändring mitt i månaden ger rätt följdrader och sortering; alla relevanta anläggningar ingår och inga giltighetsintervall tappas vid deduplicering.</x:v>
      </x:c>
      <x:c r="H48" s="19" t="str">
        <x:v>lib/ediel/flows/aiListFlow.ts</x:v>
      </x:c>
      <x:c r="I48" s="19" t="str">
        <x:v>R2/R3; AI kap.2.1</x:v>
      </x:c>
      <x:c r="J48" s="19" t="str">
        <x:v>https://github.com/heke99/gridex-ops-platform/blob/eb9a25bc989c6de808903f41c2314d5465e9c07b/lib/ediel/flows/aiListFlow.ts</x:v>
      </x:c>
      <x:c r="K48" s="19" t="str">
        <x:v>Öppen</x:v>
      </x:c>
      <x:c r="L48" s="19" t="str"/>
      <x:c r="M48" s="19" t="str"/>
    </x:row>
    <x:row r="49" ht="50.400001525878906" customHeight="1">
      <x:c r="A49" s="19" t="str">
        <x:v>E045</x:v>
      </x:c>
      <x:c r="B49" s="19" t="str">
        <x:v>P1</x:v>
      </x:c>
      <x:c r="C49" s="19" t="str">
        <x:v>Kodfel</x:v>
      </x:c>
      <x:c r="D49" s="19" t="str">
        <x:v>AI-mottagning når inte verifierad avstämningsväg</x:v>
      </x:c>
      <x:c r="E49" s="19" t="str">
        <x:v>Granskad gemensam mejlprocessor kräver EDIFACT och sätter annars generisk manual_review. En korrekt kopplad AI-avstämning har inte visats där.</x:v>
      </x:c>
      <x:c r="F49" s="19" t="str">
        <x:v>Klassificera AI/BI före EDIFACT-grenen och skapa avvikelser mot daterad struktur; ingen automatisk masterdataöverskrivning från AI.</x:v>
      </x:c>
      <x:c r="G49" s="19" t="str">
        <x:v>Giltig AI-fil ger begriplig avstämning, inte Mail saknar EDIFACT. Skillnader skapar utredning utan ändrad grunddata.</x:v>
      </x:c>
      <x:c r="H49" s="19" t="str">
        <x:v>lib/inbound-mail/edielInboundProcessor.ts</x:v>
      </x:c>
      <x:c r="I49" s="19" t="str">
        <x:v>R2 F05/F06; AI s.3</x:v>
      </x:c>
      <x:c r="J49" s="19" t="str">
        <x:v>https://github.com/heke99/gridex-ops-platform/blob/eb9a25bc989c6de808903f41c2314d5465e9c07b/lib/inbound-mail/edielInboundProcessor.ts</x:v>
      </x:c>
      <x:c r="K49" s="19" t="str">
        <x:v>Öppen</x:v>
      </x:c>
      <x:c r="L49" s="19" t="str"/>
      <x:c r="M49" s="19" t="str"/>
    </x:row>
    <x:row r="50" ht="50.400001525878906" customHeight="1">
      <x:c r="A50" s="19" t="str">
        <x:v>E046</x:v>
      </x:c>
      <x:c r="B50" s="19" t="str">
        <x:v>P1</x:v>
      </x:c>
      <x:c r="C50" s="19" t="str">
        <x:v>Verifieringslucka</x:v>
      </x:c>
      <x:c r="D50" s="19" t="str">
        <x:v>BI-export måste begränsas till nätföretagsrollen</x:v>
      </x:c>
      <x:c r="E50" s="19" t="str">
        <x:v>BI är exponerad i generell exportmodell; end-to-end-rollspärr för leverantör har inte visats.</x:v>
      </x:c>
      <x:c r="F50" s="19" t="str">
        <x:v>Behörighets- och processmatris blockerar BI-sändning som elhandelsföretag. Mottagning behandlas enligt användningsfallet.</x:v>
      </x:c>
      <x:c r="G50" s="19" t="str">
        <x:v>Supplier kan inte skapa eller skicka BI genom UI, API, jobb eller direkt byggarväg.</x:v>
      </x:c>
      <x:c r="H50" s="19" t="str">
        <x:v>lib/ediel/flows/aiListFlow.ts</x:v>
      </x:c>
      <x:c r="I50" s="19" t="str">
        <x:v>R2 F06; AI s.3</x:v>
      </x:c>
      <x:c r="J50" s="19" t="str">
        <x:v>https://github.com/heke99/gridex-ops-platform/blob/eb9a25bc989c6de808903f41c2314d5465e9c07b/lib/ediel/flows/aiListFlow.ts</x:v>
      </x:c>
      <x:c r="K50" s="19" t="str">
        <x:v>Öppen</x:v>
      </x:c>
      <x:c r="L50" s="19" t="str"/>
      <x:c r="M50" s="19" t="str"/>
    </x:row>
    <x:row r="51" ht="50.400001525878906" customHeight="1">
      <x:c r="A51" s="19" t="str">
        <x:v>E047</x:v>
      </x:c>
      <x:c r="B51" s="19" t="str">
        <x:v>P1</x:v>
      </x:c>
      <x:c r="C51" s="19" t="str">
        <x:v>Konfigurationsavvikelse</x:v>
      </x:c>
      <x:c r="D51" s="19" t="str">
        <x:v>Legacy-regler är aktiva trots dokumenterad avveckling</x:v>
      </x:c>
      <x:c r="E51" s="19" t="str">
        <x:v>Fyra deadline-rader och en supplier_switch-policy var aktiva, fast dokumentationen beskriver dem som inaktiva historiska projektioner.</x:v>
      </x:c>
      <x:c r="F51" s="19" t="str">
        <x:v>Kartlägg konsumenter, migrera till auktoritativ källa och gör gamla projektioner icke-normerande. Bevara historik.</x:v>
      </x:c>
      <x:c r="G51" s="19" t="str">
        <x:v>Runtime och databasprojektion stämmer vid hashjämförelse; ingen alternativ tabell kan överstyra det beslutade regelpaketet.</x:v>
      </x:c>
      <x:c r="H51" s="19" t="str">
        <x:v>docs/ediel/CANONICAL_SOURCE_INVENTORY.md</x:v>
      </x:c>
      <x:c r="I51" s="19" t="str">
        <x:v>R1 §6; avlasta_systemfakta.json</x:v>
      </x:c>
      <x:c r="J51" s="19" t="str">
        <x:v>https://github.com/heke99/gridex-ops-platform/blob/eb9a25bc989c6de808903f41c2314d5465e9c07b/docs/ediel/CANONICAL_SOURCE_INVENTORY.md</x:v>
      </x:c>
      <x:c r="K51" s="19" t="str">
        <x:v>Öppen</x:v>
      </x:c>
      <x:c r="L51" s="19" t="str"/>
      <x:c r="M51" s="19" t="str"/>
    </x:row>
    <x:row r="52" ht="50.400001525878906" customHeight="1">
      <x:c r="A52" s="19" t="str">
        <x:v>E048</x:v>
      </x:c>
      <x:c r="B52" s="19" t="str">
        <x:v>P1</x:v>
      </x:c>
      <x:c r="C52" s="19" t="str">
        <x:v>Konfigurationsavvikelse</x:v>
      </x:c>
      <x:c r="D52" s="19" t="str">
        <x:v>Revisionsetiketter är inkonsekventa</x:v>
      </x:c>
      <x:c r="E52" s="19" t="str">
        <x:v>Z01 snapshot/etikett 26-A:r26-A motsäger länkad PRODAT:Z01:L:26.A:r3. Paket-id/hash pekar enligt avläsningen på rätt paket.</x:v>
      </x:c>
      <x:c r="F52" s="19" t="str">
        <x:v>Typa guideversion, revision, wireversion och profilversion separat. Korrigera visning med spårbar komplettering, inte historikomskrivning.</x:v>
      </x:c>
      <x:c r="G52" s="19" t="str">
        <x:v>UI och logg visar entydigt paket och revision; historiska råvärden kan fortfarande granskas.</x:v>
      </x:c>
      <x:c r="H52" s="19" t="str">
        <x:v>lib/ediel/rulebook/guideRegistry.ts</x:v>
      </x:c>
      <x:c r="I52" s="19" t="str">
        <x:v>R1 §6</x:v>
      </x:c>
      <x:c r="J52" s="19" t="str">
        <x:v>https://github.com/heke99/gridex-ops-platform/blob/eb9a25bc989c6de808903f41c2314d5465e9c07b/lib/ediel/rulebook/guideRegistry.ts</x:v>
      </x:c>
      <x:c r="K52" s="19" t="str">
        <x:v>Öppen</x:v>
      </x:c>
      <x:c r="L52" s="19" t="str"/>
      <x:c r="M52" s="19" t="str"/>
    </x:row>
    <x:row r="53" ht="36.599998474121094" customHeight="1">
      <x:c r="A53" s="19" t="str">
        <x:v>E049</x:v>
      </x:c>
      <x:c r="B53" s="19" t="str">
        <x:v>P0</x:v>
      </x:c>
      <x:c r="C53" s="19" t="str">
        <x:v>Konfigurationsavvikelse</x:v>
      </x:c>
      <x:c r="D53" s="19" t="str">
        <x:v>Readiness-beviset är gammalt för aktuell release</x:v>
      </x:c>
      <x:c r="E53" s="19" t="str">
        <x:v>Avläst is_ready=true avser 14 augusti och annan deployment. Det bevisar inte den granskade releasen.</x:v>
      </x:c>
      <x:c r="F53" s="19" t="str">
        <x:v>Beredskap binds till deployment, schema/migrationer, regelpaket, tenantidentitet, rutt och säkerhetspolicy.</x:v>
      </x:c>
      <x:c r="G53" s="19" t="str">
        <x:v>Ändrad beroendeversion gör tidigare bevis otillräckligt. Nya berörda tenantbevis skapas innan sändningsvägen öppnas.</x:v>
      </x:c>
      <x:c r="H53" s="19" t="str"/>
      <x:c r="I53" s="19" t="str">
        <x:v>R1 §6; R3 föreslagen åtgärdsordning</x:v>
      </x:c>
      <x:c r="J53" s="19" t="str"/>
      <x:c r="K53" s="19" t="str">
        <x:v>Öppen</x:v>
      </x:c>
      <x:c r="L53" s="19" t="str"/>
      <x:c r="M53" s="19" t="str"/>
    </x:row>
    <x:row r="54" ht="50.400001525878906" customHeight="1">
      <x:c r="A54" s="19" t="str">
        <x:v>E050</x:v>
      </x:c>
      <x:c r="B54" s="19" t="str">
        <x:v>P0</x:v>
      </x:c>
      <x:c r="C54" s="19" t="str">
        <x:v>Verifieringslucka</x:v>
      </x:c>
      <x:c r="D54" s="19" t="str">
        <x:v>CI och ren migrationsreplay var inte helt gröna</x:v>
      </x:c>
      <x:c r="E54" s="19" t="str">
        <x:v>Tidigare kontrollerad PR310-körning34373283798 hade failure i verify och clean-migration-replay. Ingen ny helkörning genomfördes.</x:v>
      </x:c>
      <x:c r="F54" s="19" t="str">
        <x:v>Samma låsta commit ska klara relevanta CI-/migrations-/integrationsgater. Bevis knyts till exakt SHA; inga överhoppade krav markeras klara.</x:v>
      </x:c>
      <x:c r="G54" s="19" t="str">
        <x:v>Ren databas kan byggas, migreras och testas; autentiserad RLS/E2E och relevanta CI-jobb gröna på releasens SHA.</x:v>
      </x:c>
      <x:c r="H54" s="19" t="str"/>
      <x:c r="I54" s="19" t="str">
        <x:v>R1 §7; GitHub Actions run34373283798, historisk observation</x:v>
      </x:c>
      <x:c r="J54" s="19" t="str"/>
      <x:c r="K54" s="19" t="str">
        <x:v>Öppen</x:v>
      </x:c>
      <x:c r="L54" s="19" t="str"/>
      <x:c r="M54" s="19" t="str"/>
    </x:row>
    <x:row r="55" ht="36.599998474121094" customHeight="1">
      <x:c r="A55" s="19" t="str">
        <x:v>E051</x:v>
      </x:c>
      <x:c r="B55" s="19" t="str">
        <x:v>P0</x:v>
      </x:c>
      <x:c r="C55" s="19" t="str">
        <x:v>Verifieringslucka</x:v>
      </x:c>
      <x:c r="D55" s="19" t="str">
        <x:v>Publicerad runtime–databasbindning saknar oberoende bevis</x:v>
      </x:c>
      <x:c r="E55" s="19" t="str">
        <x:v>Projekt gridex-ops-dev har produktionsmärkta data. Det är inte ett säkert bevis för varje publicerad funktions anslutning.</x:v>
      </x:c>
      <x:c r="F55" s="19" t="str">
        <x:v>Icke-hemlig runtime-attestering av projektref, deployment, miljö, schemafingerprint och version; inga hemligheter i logg.</x:v>
      </x:c>
      <x:c r="G55" s="19" t="str">
        <x:v>Webb, workers och API kan kopplas till rätt produktionsdatabas och SMTP-profil på samma release.</x:v>
      </x:c>
      <x:c r="H55" s="19" t="str"/>
      <x:c r="I55" s="19" t="str">
        <x:v>R1/R2/R3 avgränsning</x:v>
      </x:c>
      <x:c r="J55" s="19" t="str"/>
      <x:c r="K55" s="19" t="str">
        <x:v>Öppen</x:v>
      </x:c>
      <x:c r="L55" s="19" t="str"/>
      <x:c r="M55" s="19" t="str"/>
    </x:row>
    <x:row r="56" ht="50.400001525878906" customHeight="1">
      <x:c r="A56" s="19" t="str">
        <x:v>E052</x:v>
      </x:c>
      <x:c r="B56" s="19" t="str">
        <x:v>P0</x:v>
      </x:c>
      <x:c r="C56" s="19" t="str">
        <x:v>Verifieringslucka</x:v>
      </x:c>
      <x:c r="D56" s="19" t="str">
        <x:v>Hela affärskedjans nästa steg är inte E2E-godkänt</x:v>
      </x:c>
      <x:c r="E56" s="19" t="str">
        <x:v>Z04-/datumguard finns och avläst Z01 har next_action, men hela kedjan per undertyp, kancellering och sena svar är inte bevisad.</x:v>
      </x:c>
      <x:c r="F56" s="19" t="str">
        <x:v>Deterministiska tillståndsmaskiner och en nästa-åtgärdsplanerare. Separera transport, syntaxkvittens, applikationskvittens och affärstillstånd.</x:v>
      </x:c>
      <x:c r="G56" s="19" t="str">
        <x:v>Z02/SMTP250 aktiverar inte leverans. Korrelerad rätt Z04 och bekräftat datum styr byte; Z04 före APERAK fungerar. Behöriga undantagsflöden är separata.</x:v>
      </x:c>
      <x:c r="H56" s="19" t="str">
        <x:v>lib/ediel/flows/inboundBusinessStateMachine.ts</x:v>
      </x:c>
      <x:c r="I56" s="19" t="str">
        <x:v>R1 §6–9; R3 §7; H kap.4; P kap.3 och bilaga1</x:v>
      </x:c>
      <x:c r="J56" s="19" t="str">
        <x:v>https://github.com/heke99/gridex-ops-platform/blob/eb9a25bc989c6de808903f41c2314d5465e9c07b/lib/ediel/flows/inboundBusinessStateMachine.ts</x:v>
      </x:c>
      <x:c r="K56" s="19" t="str">
        <x:v>Öppen</x:v>
      </x:c>
      <x:c r="L56" s="19" t="str"/>
      <x:c r="M56" s="19" t="str"/>
    </x:row>
    <x:row r="57" ht="50.400001525878906" customHeight="1">
      <x:c r="A57" s="19" t="str">
        <x:v>E053</x:v>
      </x:c>
      <x:c r="B57" s="19" t="str">
        <x:v>P1</x:v>
      </x:c>
      <x:c r="C57" s="19" t="str">
        <x:v>Referensavvikelse</x:v>
      </x:c>
      <x:c r="D57" s="19" t="str">
        <x:v>Z15-referensens negativa APERAK är inte ett korrekt facit</x:v>
      </x:c>
      <x:c r="E57" s="19" t="str">
        <x:v>49285495 har tio ERC/FTX-grupper; åtta utan fältreferens och två med fel nummer, referenser bara i sista gruppen, samt UTF-8-tecken trots UNOC:3.</x:v>
      </x:c>
      <x:c r="F57" s="19" t="str">
        <x:v>Bevara oförändrad som adversariellt/negativt fall. Definiera korrekt svar oberoende mot källan och bevara bytekodningstest.</x:v>
      </x:c>
      <x:c r="G57" s="19" t="str">
        <x:v>Testmanifest anger ursprung, syfte, förväntat fel och scope. Felaktig referens används inte för att göra validatorn godtyckligt grön.</x:v>
      </x:c>
      <x:c r="H57" s="19" t="str"/>
      <x:c r="I57" s="19" t="str">
        <x:v>R1 §4; 49285469/49285495; P s.108 och kap.3</x:v>
      </x:c>
      <x:c r="J57" s="19" t="str"/>
      <x:c r="K57" s="19" t="str">
        <x:v>Öppen</x:v>
      </x:c>
      <x:c r="L57" s="19" t="str"/>
      <x:c r="M57" s="19" t="str"/>
    </x:row>
    <x:row r="58" ht="50.400001525878906" customHeight="1">
      <x:c r="A58" s="19" t="str">
        <x:v>E054</x:v>
      </x:c>
      <x:c r="B58" s="19" t="str">
        <x:v>P1</x:v>
      </x:c>
      <x:c r="C58" s="19" t="str">
        <x:v>Referensavvikelse</x:v>
      </x:c>
      <x:c r="D58" s="19" t="str">
        <x:v>Z13 har positiv kvittens men avviker från specifikationen</x:v>
      </x:c>
      <x:c r="E58" s="19" t="str">
        <x:v>49267129 saknar DTM+90, använder DTM+92 och lägger energiprodukten i första i stället för andra 7110. Bifogade kvittenser är positiva.</x:v>
      </x:c>
      <x:c r="F58" s="19" t="str">
        <x:v>Registrera konflikt och koppla originalhash till testfall/protokoll. Inte antagande om att Gridex producerat filen.</x:v>
      </x:c>
      <x:c r="G58" s="19" t="str">
        <x:v>Korrekt förväntat resultat kommer från godkänd källtolkning/testdefinition, inte enbart befintlig positiv kvittens.</x:v>
      </x:c>
      <x:c r="H58" s="19" t="str"/>
      <x:c r="I58" s="19" t="str">
        <x:v>R1 §4; 49267129/49267130/49267131; P kap.2.6</x:v>
      </x:c>
      <x:c r="J58" s="19" t="str"/>
      <x:c r="K58" s="19" t="str">
        <x:v>Öppen</x:v>
      </x:c>
      <x:c r="L58" s="19" t="str"/>
      <x:c r="M58" s="19" t="str"/>
    </x:row>
    <x:row r="59" ht="50.400001525878906" customHeight="1">
      <x:c r="A59" s="19" t="str">
        <x:v>E055</x:v>
      </x:c>
      <x:c r="B59" s="19" t="str">
        <x:v>P1</x:v>
      </x:c>
      <x:c r="C59" s="19" t="str">
        <x:v>Referensavvikelse</x:v>
      </x:c>
      <x:c r="D59" s="19" t="str">
        <x:v>UTILTS-referenser prövar skilda fel och dubbletter</x:v>
      </x:c>
      <x:c r="E59" s="19" t="str">
        <x:v>49229312 saknar DTM+597 på serienivå och har två negativa APERAK41/512. 49230015 har 88 av 96 förväntade kvartsvärden trots korrekt energisumma.</x:v>
      </x:c>
      <x:c r="F59" s="19" t="str">
        <x:v>Märk negativa/dubblettfall explicit. Kontrollera obligatorisk registreringstid och antal observationer oberoende av energiavstämning.</x:v>
      </x:c>
      <x:c r="G59" s="19" t="str">
        <x:v>Saknat fält512 ger rätt anvisningsutfall. Ofullständig period får rätt funktionsutfall först när tidigare kontroller passerat. Dubblett-ACK är idempotent.</x:v>
      </x:c>
      <x:c r="H59" s="19" t="str"/>
      <x:c r="I59" s="19" t="str">
        <x:v>R1 §4; R2 §4; U bilaga1–2; EDI-referenser</x:v>
      </x:c>
      <x:c r="J59" s="19" t="str"/>
      <x:c r="K59" s="19" t="str">
        <x:v>Öppen</x:v>
      </x:c>
      <x:c r="L59" s="19" t="str"/>
      <x:c r="M59" s="19" t="str"/>
    </x:row>
    <x:row r="60" ht="36.599998474121094" customHeight="1">
      <x:c r="A60" s="19" t="str">
        <x:v>E056</x:v>
      </x:c>
      <x:c r="B60" s="19" t="str">
        <x:v>P1</x:v>
      </x:c>
      <x:c r="C60" s="19" t="str">
        <x:v>Verifieringslucka</x:v>
      </x:c>
      <x:c r="D60" s="19" t="str">
        <x:v>Referenskedjor och officiella testdefinitioner är ofullständiga</x:v>
      </x:c>
      <x:c r="E60" s="19" t="str">
        <x:v>49308012 saknar original E66-S i uppladdningen. Alla positiva/negativa och flerobjektskedjor har inte komplett testprotokoll.</x:v>
      </x:c>
      <x:c r="F60" s="19" t="str">
        <x:v>Spårbart manifest per original, scenario, guide, aktörsroll och förväntade efterföljande meddelanden. Hämta saknade kedjor.</x:v>
      </x:c>
      <x:c r="G60" s="19" t="str">
        <x:v>Varje använd referens har ett uttryckligt syfte. Ofullständiga exempel med xxx/repetition påstås inte vara färdiga EDI-filer.</x:v>
      </x:c>
      <x:c r="H60" s="19" t="str"/>
      <x:c r="I60" s="19" t="str">
        <x:v>R1 §4/8; R3 §8; OE bilaga3–4</x:v>
      </x:c>
      <x:c r="J60" s="19" t="str"/>
      <x:c r="K60" s="19" t="str">
        <x:v>Öppen</x:v>
      </x:c>
      <x:c r="L60" s="19" t="str"/>
      <x:c r="M60" s="19" t="str"/>
    </x:row>
    <x:row r="61" ht="50.400001525878906" customHeight="1">
      <x:c r="A61" s="19" t="str">
        <x:v>E057</x:v>
      </x:c>
      <x:c r="B61" s="19" t="str">
        <x:v>P1</x:v>
      </x:c>
      <x:c r="C61" s="19" t="str">
        <x:v>Källkonflikt</x:v>
      </x:c>
      <x:c r="D61" s="19" t="str">
        <x:v>Källdokument innehåller motsägelser</x:v>
      </x:c>
      <x:c r="E61" s="19" t="str">
        <x:v>PRODAT bilaga4 nämner E2SE5A trots aktuell huvudanvisning E2SE6A. Svensk UTILTS har footer25-A-5 men omslag revision4. Även översättningens ändringslogg har datumavvikelse.</x:v>
      </x:c>
      <x:c r="F61" s="19" t="str">
        <x:v>Behåll original, hash och ett explicit konflikt-/tolkningsbeslut med källa och ansvarig. Inga tysta ändringar av dokument eller automatiska versioner från filnamn.</x:v>
      </x:c>
      <x:c r="G61" s="19" t="str">
        <x:v>Samma dokumentkonflikt kan inte ge olika regler i två konsumenter. Oklara beslut förblir synliga och berörda funktioner godkänns inte utan grund.</x:v>
      </x:c>
      <x:c r="H61" s="19" t="str"/>
      <x:c r="I61" s="19" t="str">
        <x:v>R1 §1/5; R2 §3; R3 §8; P s.41/120; U omslag/ändringslogg</x:v>
      </x:c>
      <x:c r="J61" s="19" t="str"/>
      <x:c r="K61" s="19" t="str">
        <x:v>Öppen</x:v>
      </x:c>
      <x:c r="L61" s="19" t="str"/>
      <x:c r="M61" s="19" t="str"/>
    </x:row>
    <x:row r="62" ht="50.400001525878906" customHeight="1">
      <x:c r="A62" s="19" t="str">
        <x:v>E058</x:v>
      </x:c>
      <x:c r="B62" s="19" t="str">
        <x:v>P1</x:v>
      </x:c>
      <x:c r="C62" s="19" t="str">
        <x:v>Konfigurationsavvikelse</x:v>
      </x:c>
      <x:c r="D62" s="19" t="str">
        <x:v>APERAK-källor och 16.B måste ha rätt omfattning</x:v>
      </x:c>
      <x:c r="E62" s="19" t="str">
        <x:v>26.A/16.B betecknar el/gas i PRODAT-dokumentet, inte en allmän APERAK-version. Kodregistret har tidigare visat APERAK guideRevision16-B med elassociation.</x:v>
      </x:c>
      <x:c r="F62" s="19" t="str">
        <x:v>Skilj APERAK-svar på PRODAT, på UTILTS och övriga familjer. Tillhörande wireprofil/version härleds från rätt originalfamilj.</x:v>
      </x:c>
      <x:c r="G62" s="19" t="str">
        <x:v>UTILTS-APERAK D04A och PRODAT-APERAK D96A blandas inte; generic05.B.5 används inte som ersättning för deras egna anvisningar.</x:v>
      </x:c>
      <x:c r="H62" s="19" t="str">
        <x:v>lib/ediel/rulebook/guideRegistry.ts</x:v>
      </x:c>
      <x:c r="I62" s="19" t="str">
        <x:v>Tidigare läst guideRegistry; R2 §3; T kap.1.5/2.2; P omslag; A05 kap.1.2</x:v>
      </x:c>
      <x:c r="J62" s="19" t="str">
        <x:v>https://github.com/heke99/gridex-ops-platform/blob/eb9a25bc989c6de808903f41c2314d5465e9c07b/lib/ediel/rulebook/guideRegistry.ts</x:v>
      </x:c>
      <x:c r="K62" s="19" t="str">
        <x:v>Öppen</x:v>
      </x:c>
      <x:c r="L62" s="19" t="str"/>
      <x:c r="M62" s="19" t="str"/>
    </x:row>
    <x:row r="63" ht="50.400001525878906" customHeight="1">
      <x:c r="A63" s="19" t="str">
        <x:v>E059</x:v>
      </x:c>
      <x:c r="B63" s="19" t="str">
        <x:v>P0</x:v>
      </x:c>
      <x:c r="C63" s="19" t="str">
        <x:v>Verifieringslucka</x:v>
      </x:c>
      <x:c r="D63" s="19" t="str">
        <x:v>Fulltext för tidigare UTILTS och aggregerade exempel saknas</x:v>
      </x:c>
      <x:c r="E63" s="19" t="str">
        <x:v>25-A-4 är för oktober. Fulltext25-A-3 och aggregerade exempel5–6 samt exakt tillämpliga testfallsdefinitioner saknas i granskningen.</x:v>
      </x:c>
      <x:c r="F63" s="19" t="str">
        <x:v>Lägg till originalkällorna och källbelagt oktober-tillägg för kodlistor. Undvik att begära dubbletter som redan lästs.</x:v>
      </x:c>
      <x:c r="G63" s="19" t="str">
        <x:v>Alla aktiverade regelpaket har tillräckligt originalunderlag för sin period och omfattning. Ändringslogg ersätter inte hela basguiden.</x:v>
      </x:c>
      <x:c r="H63" s="19" t="str"/>
      <x:c r="I63" s="19" t="str">
        <x:v>R1–R3 kvarstående underlag; U kap.1.7/1.8</x:v>
      </x:c>
      <x:c r="J63" s="19" t="str"/>
      <x:c r="K63" s="19" t="str">
        <x:v>Öppen</x:v>
      </x:c>
      <x:c r="L63" s="19" t="str"/>
      <x:c r="M63" s="19" t="str"/>
    </x:row>
    <x:row r="64" ht="50.400001525878906" customHeight="1">
      <x:c r="A64" s="19" t="str">
        <x:v>E060</x:v>
      </x:c>
      <x:c r="B64" s="19" t="str">
        <x:v>P0</x:v>
      </x:c>
      <x:c r="C64" s="19" t="str">
        <x:v>Verifieringslucka</x:v>
      </x:c>
      <x:c r="D64" s="19" t="str">
        <x:v>Isolerade gröna kontroller räcker inte för produktionsgodkännande</x:v>
      </x:c>
      <x:c r="E64" s="19" t="str">
        <x:v>90 kuvertkontroller, isolerade felreproduktioner och READY i Vercel är inte full certifiering av meddelande-, databas-, faktura- och transportkedjan.</x:v>
      </x:c>
      <x:c r="F64" s="19" t="str">
        <x:v>Oberoende källoracle, enhetstest, integrationsprov, ren migrationsreplay, tenanttester och kontrollerat motpartsprov per aktiverad kapabilitet.</x:v>
      </x:c>
      <x:c r="G64" s="19" t="str">
        <x:v>Varje stängd kodavvikelse har rött-före/grönt-efter-bevis på exakt SHA och migrationsnivå. Inga testcase-specialundantag i produktionsregler.</x:v>
      </x:c>
      <x:c r="H64" s="19" t="str"/>
      <x:c r="I64" s="19" t="str">
        <x:v>R1 §7/9; R2 §1; R3 slutstatus; T/P implementering och tester</x:v>
      </x:c>
      <x:c r="J64" s="19" t="str"/>
      <x:c r="K64" s="19" t="str">
        <x:v>Öppen</x:v>
      </x:c>
      <x:c r="L64" s="19" t="str"/>
      <x:c r="M64" s="19" t="str"/>
    </x:row>
    <x:row r="65" ht="50.400001525878906" customHeight="1">
      <x:c r="A65" s="19" t="str">
        <x:v>E061</x:v>
      </x:c>
      <x:c r="B65" s="19" t="str">
        <x:v>P2</x:v>
      </x:c>
      <x:c r="C65" s="19" t="str">
        <x:v>Förtydligande</x:v>
      </x:c>
      <x:c r="D65" s="19" t="str">
        <x:v>Deadline före sändning är inte längre ett verifierat aktuellt fel</x:v>
      </x:c>
      <x:c r="E65" s="19" t="str">
        <x:v>I de senaste avläsningarna ligger fristen 20:31:24 efter sändning20:01:24. Att systemet väntar på Z02 är inte samma sak som aktiv leverans.</x:v>
      </x:c>
      <x:c r="F65" s="19" t="str">
        <x:v>Behåll separat bevakning. Skilj mottagarens faktiska regelankare från egen sändarbaserad bevakning när mottagningstiden är okänd.</x:v>
      </x:c>
      <x:c r="G65" s="19" t="str">
        <x:v>Ingen påstådd SLA-överträdelse beräknas från fel klocka. Försenad kontaktuppgift/kvittens kan inte nollställa en redan gällande frist.</x:v>
      </x:c>
      <x:c r="H65" s="19" t="str"/>
      <x:c r="I65" s="19" t="str">
        <x:v>R1 §6; R2/R3 transportdata; P s.86–87/109</x:v>
      </x:c>
      <x:c r="J65" s="19" t="str"/>
      <x:c r="K65" s="19" t="str">
        <x:v>Klargjord</x:v>
      </x:c>
      <x:c r="L65" s="19" t="str"/>
      <x:c r="M65" s="19" t="str"/>
    </x:row>
    <x:row r="66" ht="50.400001525878906" customHeight="1">
      <x:c r="A66" s="19" t="str">
        <x:v>E062</x:v>
      </x:c>
      <x:c r="B66" s="19" t="str">
        <x:v>P1</x:v>
      </x:c>
      <x:c r="C66" s="19" t="str">
        <x:v>Byggförslag</x:v>
      </x:c>
      <x:c r="D66" s="19" t="str">
        <x:v>Verifiera referensintegritet, index och säker datalivscykel</x:v>
      </x:c>
      <x:c r="E66" s="19" t="str">
        <x:v>Ingen full tabell-/index-/raderingsaudit har genomförts i dessa Edielgranskningar. Detta är en kompletterande bygg- och verifieringspunkt, inte ett fastställt fel på varje tabell.</x:v>
      </x:c>
      <x:c r="F66" s="19" t="str">
        <x:v>Återanvänd befintliga auktoritativa tabeller; inför nödvändiga tenant-FK, unika nycklar, riktade index, revisionshistorik och dokumenterad gallring.</x:v>
      </x:c>
      <x:c r="G66" s="19" t="str">
        <x:v>Ingen kors-tenant-referens, dubblettaffärseffekt eller orphan. Kundradering förstör inte meddelandebevis eller lagstadgad dokumentation; retention prövas separat.</x:v>
      </x:c>
      <x:c r="H66" s="19" t="str"/>
      <x:c r="I66" s="19" t="str">
        <x:v>Arkitekturförslag utifrån granskningsluckor; inga generella lagringsfrister fastställda här</x:v>
      </x:c>
      <x:c r="J66" s="19" t="str"/>
      <x:c r="K66" s="19" t="str">
        <x:v>Öppen</x:v>
      </x:c>
      <x:c r="L66" s="19" t="str"/>
      <x:c r="M66" s="19" t="str"/>
    </x:row>
  </x:sheetData>
  <x:mergeCells>
    <x:mergeCell ref="A1:M1"/>
    <x:mergeCell ref="A2:M2"/>
  </x:mergeCells>
  <x:pageMargins left="0.7" right="0.7" top="0.75" bottom="0.75" header="0.3" footer="0.3"/>
  <x:tableParts count="1">
    <x:tablePart xmlns:r="http://schemas.openxmlformats.org/officeDocument/2006/relationships" r:id="Rf977169f2bf8449b"/>
  </x:tableParts>
</x:worksheet>
</file>

<file path=xl/worksheets/sheet18.xml><?xml version="1.0" encoding="utf-8"?>
<x:worksheet xmlns:x="http://schemas.openxmlformats.org/spreadsheetml/2006/main">
  <x:sheetFormatPr defaultRowHeight="15"/>
  <x:cols>
    <x:col min="1" max="1" width="12" hidden="0" customWidth="1"/>
    <x:col min="2" max="2" width="40" hidden="0" customWidth="1"/>
    <x:col min="3" max="3" width="60" hidden="0" customWidth="1"/>
    <x:col min="4" max="4" width="68" hidden="0" customWidth="1"/>
    <x:col min="5" max="5" width="24" hidden="0" customWidth="1"/>
  </x:cols>
  <x:sheetData>
    <x:row r="1" ht="30" customHeight="1">
      <x:c r="A1" s="3" t="str">
        <x:v>26 mappningsfynd · Gridex Ediel v2</x:v>
      </x:c>
      <x:c r="B1" s="3"/>
      <x:c r="C1" s="3"/>
      <x:c r="D1" s="3"/>
      <x:c r="E1" s="3"/>
    </x:row>
    <x:row r="2" ht="34" customHeight="1">
      <x:c r="A2" s="8" t="str">
        <x:v>Tidigare granskningsobservationer. Den nya fullständigare fältkatalogen finns i PRODAT-fält och bilaga B.</x:v>
      </x:c>
      <x:c r="B2" s="8"/>
      <x:c r="C2" s="8"/>
      <x:c r="D2" s="8"/>
      <x:c r="E2" s="8"/>
    </x:row>
    <x:row r="4" ht="37" customHeight="1">
      <x:c r="A4" s="14" t="str">
        <x:v>Fält</x:v>
      </x:c>
      <x:c r="B4" s="14" t="str">
        <x:v>Namn</x:v>
      </x:c>
      <x:c r="C4" s="14" t="str">
        <x:v>Tidigare kodkoppling</x:v>
      </x:c>
      <x:c r="D4" s="14" t="str">
        <x:v>Källkoppling</x:v>
      </x:c>
      <x:c r="E4" s="14" t="str">
        <x:v>Källsida</x:v>
      </x:c>
    </x:row>
    <x:row r="5" ht="32" customHeight="1">
      <x:c r="A5" s="19" t="str">
        <x:v>203</x:v>
      </x:c>
      <x:c r="B5" s="19" t="str">
        <x:v>Meddelandeidentifikation</x:v>
      </x:c>
      <x:c r="C5" s="19" t="str">
        <x:v>UNH/0062</x:v>
      </x:c>
      <x:c r="D5" s="19" t="str">
        <x:v>BGM/1004</x:v>
      </x:c>
      <x:c r="E5" s="19" t="str">
        <x:v>42, 100</x:v>
      </x:c>
    </x:row>
    <x:row r="6" ht="32" customHeight="1">
      <x:c r="A6" s="19" t="str">
        <x:v>207</x:v>
      </x:c>
      <x:c r="B6" s="19" t="str">
        <x:v>Avsändare</x:v>
      </x:c>
      <x:c r="C6" s="19" t="str">
        <x:v>UNB/S002</x:v>
      </x:c>
      <x:c r="D6" s="19" t="str">
        <x:v>NAD+FR/C082</x:v>
      </x:c>
      <x:c r="E6" s="19" t="str">
        <x:v>45</x:v>
      </x:c>
    </x:row>
    <x:row r="7" ht="32" customHeight="1">
      <x:c r="A7" s="19" t="str">
        <x:v>208</x:v>
      </x:c>
      <x:c r="B7" s="19" t="str">
        <x:v>Mottagare</x:v>
      </x:c>
      <x:c r="C7" s="19" t="str">
        <x:v>UNB/S003</x:v>
      </x:c>
      <x:c r="D7" s="19" t="str">
        <x:v>NAD+DO/C082</x:v>
      </x:c>
      <x:c r="E7" s="19" t="str">
        <x:v>46</x:v>
      </x:c>
    </x:row>
    <x:row r="8" ht="32" customHeight="1">
      <x:c r="A8" s="19" t="str">
        <x:v>315</x:v>
      </x:c>
      <x:c r="B8" s="19" t="str">
        <x:v>Avsändarens organisationsnummer</x:v>
      </x:c>
      <x:c r="C8" s="19" t="str">
        <x:v>NAD+FR</x:v>
      </x:c>
      <x:c r="D8" s="19" t="str">
        <x:v>RFF+XA (SG6 under avsändaren)</x:v>
      </x:c>
      <x:c r="E8" s="19" t="str">
        <x:v>46</x:v>
      </x:c>
    </x:row>
    <x:row r="9" ht="32" customHeight="1">
      <x:c r="A9" s="19" t="str">
        <x:v>302</x:v>
      </x:c>
      <x:c r="B9" s="19" t="str">
        <x:v>Rapportstartdatum</x:v>
      </x:c>
      <x:c r="C9" s="19" t="str">
        <x:v>DTM+163</x:v>
      </x:c>
      <x:c r="D9" s="19" t="str">
        <x:v>DTM+90</x:v>
      </x:c>
      <x:c r="E9" s="19" t="str">
        <x:v>49</x:v>
      </x:c>
    </x:row>
    <x:row r="10" ht="32" customHeight="1">
      <x:c r="A10" s="19" t="str">
        <x:v>321</x:v>
      </x:c>
      <x:c r="B10" s="19" t="str">
        <x:v>Rapportslutdatum</x:v>
      </x:c>
      <x:c r="C10" s="19" t="str">
        <x:v>DTM+164</x:v>
      </x:c>
      <x:c r="D10" s="19" t="str">
        <x:v>DTM+91</x:v>
      </x:c>
      <x:c r="E10" s="19" t="str">
        <x:v>49</x:v>
      </x:c>
    </x:row>
    <x:row r="11" ht="32" customHeight="1">
      <x:c r="A11" s="19" t="str">
        <x:v>212</x:v>
      </x:c>
      <x:c r="B11" s="19" t="str">
        <x:v>Datum för första mätaravläsning</x:v>
      </x:c>
      <x:c r="C11" s="19" t="str">
        <x:v>DTM+9</x:v>
      </x:c>
      <x:c r="D11" s="19" t="str">
        <x:v>DTM+51</x:v>
      </x:c>
      <x:c r="E11" s="19" t="str">
        <x:v>49</x:v>
      </x:c>
    </x:row>
    <x:row r="12" ht="32" customHeight="1">
      <x:c r="A12" s="19" t="str">
        <x:v>508</x:v>
      </x:c>
      <x:c r="B12" s="19" t="str">
        <x:v>Tidslängd</x:v>
      </x:c>
      <x:c r="C12" s="19" t="str">
        <x:v>CCI++Z03/CAV</x:v>
      </x:c>
      <x:c r="D12" s="19" t="str">
        <x:v>DTM+354</x:v>
      </x:c>
      <x:c r="E12" s="19" t="str">
        <x:v>51</x:v>
      </x:c>
    </x:row>
    <x:row r="13" ht="32" customHeight="1">
      <x:c r="A13" s="19" t="str">
        <x:v>326</x:v>
      </x:c>
      <x:c r="B13" s="19" t="str">
        <x:v>Tillståndets tidstämpel</x:v>
      </x:c>
      <x:c r="C13" s="19" t="str">
        <x:v>DTM+171</x:v>
      </x:c>
      <x:c r="D13" s="19" t="str">
        <x:v>DTM+693</x:v>
      </x:c>
      <x:c r="E13" s="19" t="str">
        <x:v>52</x:v>
      </x:c>
    </x:row>
    <x:row r="14" ht="32" customHeight="1">
      <x:c r="A14" s="19" t="str">
        <x:v>327</x:v>
      </x:c>
      <x:c r="B14" s="19" t="str">
        <x:v>Tjänsten/rapporteringen upphör</x:v>
      </x:c>
      <x:c r="C14" s="19" t="str">
        <x:v>DTM+273</x:v>
      </x:c>
      <x:c r="D14" s="19" t="str">
        <x:v>DTM+164</x:v>
      </x:c>
      <x:c r="E14" s="19" t="str">
        <x:v>52</x:v>
      </x:c>
    </x:row>
    <x:row r="15" ht="32" customHeight="1">
      <x:c r="A15" s="19" t="str">
        <x:v>214</x:v>
      </x:c>
      <x:c r="B15" s="19" t="str">
        <x:v>Konstant för mätare</x:v>
      </x:c>
      <x:c r="C15" s="19" t="str">
        <x:v>QTY+40</x:v>
      </x:c>
      <x:c r="D15" s="19" t="str">
        <x:v>CCI++Z02/CAV</x:v>
      </x:c>
      <x:c r="E15" s="19" t="str">
        <x:v>55</x:v>
      </x:c>
    </x:row>
    <x:row r="16" ht="32" customHeight="1">
      <x:c r="A16" s="19" t="str">
        <x:v>215</x:v>
      </x:c>
      <x:c r="B16" s="19" t="str">
        <x:v>Konstant gammal mätare</x:v>
      </x:c>
      <x:c r="C16" s="19" t="str">
        <x:v>QTY+40</x:v>
      </x:c>
      <x:c r="D16" s="19" t="str">
        <x:v>CCI++Z03/CAV</x:v>
      </x:c>
      <x:c r="E16" s="19" t="str">
        <x:v>56</x:v>
      </x:c>
    </x:row>
    <x:row r="17" ht="32" customHeight="1">
      <x:c r="A17" s="19" t="str">
        <x:v>218</x:v>
      </x:c>
      <x:c r="B17" s="19" t="str">
        <x:v>Antal siffror, mätare</x:v>
      </x:c>
      <x:c r="C17" s="19" t="str">
        <x:v>QTY+218</x:v>
      </x:c>
      <x:c r="D17" s="19" t="str">
        <x:v>CCI++Z05/CAV</x:v>
      </x:c>
      <x:c r="E17" s="19" t="str">
        <x:v>58</x:v>
      </x:c>
    </x:row>
    <x:row r="18" ht="32" customHeight="1">
      <x:c r="A18" s="19" t="str">
        <x:v>219</x:v>
      </x:c>
      <x:c r="B18" s="19" t="str">
        <x:v>Antal siffror, gammal mätare</x:v>
      </x:c>
      <x:c r="C18" s="19" t="str">
        <x:v>QTY+219</x:v>
      </x:c>
      <x:c r="D18" s="19" t="str">
        <x:v>CCI++Z06/CAV</x:v>
      </x:c>
      <x:c r="E18" s="19" t="str">
        <x:v>59</x:v>
      </x:c>
    </x:row>
    <x:row r="19" ht="32" customHeight="1">
      <x:c r="A19" s="19" t="str">
        <x:v>306</x:v>
      </x:c>
      <x:c r="B19" s="19" t="str">
        <x:v>Installationsstatus</x:v>
      </x:c>
      <x:c r="C19" s="19" t="str">
        <x:v>CCI++Z05/CAV</x:v>
      </x:c>
      <x:c r="D19" s="19" t="str">
        <x:v>CCI++Z07/CAV</x:v>
      </x:c>
      <x:c r="E19" s="19" t="str">
        <x:v>60</x:v>
      </x:c>
    </x:row>
    <x:row r="20" ht="32" customHeight="1">
      <x:c r="A20" s="19" t="str">
        <x:v>307</x:v>
      </x:c>
      <x:c r="B20" s="19" t="str">
        <x:v>Tariffkod</x:v>
      </x:c>
      <x:c r="C20" s="19" t="str">
        <x:v>CCI++Z06/CAV</x:v>
      </x:c>
      <x:c r="D20" s="19" t="str">
        <x:v>CCI++Z08/CAV</x:v>
      </x:c>
      <x:c r="E20" s="19" t="str">
        <x:v>61</x:v>
      </x:c>
    </x:row>
    <x:row r="21" ht="32" customHeight="1">
      <x:c r="A21" s="19" t="str">
        <x:v>220</x:v>
      </x:c>
      <x:c r="B21" s="19" t="str">
        <x:v>Prioritet</x:v>
      </x:c>
      <x:c r="C21" s="19" t="str">
        <x:v>CCI++Z07/CAV</x:v>
      </x:c>
      <x:c r="D21" s="19" t="str">
        <x:v>CCI++Z09/CAV</x:v>
      </x:c>
      <x:c r="E21" s="19" t="str">
        <x:v>62</x:v>
      </x:c>
    </x:row>
    <x:row r="22" ht="32" customHeight="1">
      <x:c r="A22" s="19" t="str">
        <x:v>259</x:v>
      </x:c>
      <x:c r="B22" s="19" t="str">
        <x:v>Räkneverkskod</x:v>
      </x:c>
      <x:c r="C22" s="19" t="str">
        <x:v>CCI++Z15/CAV</x:v>
      </x:c>
      <x:c r="D22" s="19" t="str">
        <x:v>CCI++Z16/CAV</x:v>
      </x:c>
      <x:c r="E22" s="19" t="str">
        <x:v>66</x:v>
      </x:c>
    </x:row>
    <x:row r="23" ht="32" customHeight="1">
      <x:c r="A23" s="19" t="str">
        <x:v>254</x:v>
      </x:c>
      <x:c r="B23" s="19" t="str">
        <x:v>Avräkningsmetod</x:v>
      </x:c>
      <x:c r="C23" s="19" t="str">
        <x:v>CCI++Z16/CAV</x:v>
      </x:c>
      <x:c r="D23" s="19" t="str">
        <x:v>CCI++Z15/CAV</x:v>
      </x:c>
      <x:c r="E23" s="19" t="str">
        <x:v>67</x:v>
      </x:c>
    </x:row>
    <x:row r="24" ht="32" customHeight="1">
      <x:c r="A24" s="19" t="str">
        <x:v>242</x:v>
      </x:c>
      <x:c r="B24" s="19" t="str">
        <x:v>Produktkod</x:v>
      </x:c>
      <x:c r="C24" s="19" t="str">
        <x:v>CCI++Z17/CAV</x:v>
      </x:c>
      <x:c r="D24" s="19" t="str">
        <x:v>CCI++Z14/CAV, första 7110</x:v>
      </x:c>
      <x:c r="E24" s="19" t="str">
        <x:v>68</x:v>
      </x:c>
    </x:row>
    <x:row r="25" ht="32" customHeight="1">
      <x:c r="A25" s="19" t="str">
        <x:v>310</x:v>
      </x:c>
      <x:c r="B25" s="19" t="str">
        <x:v>Kundstatus</x:v>
      </x:c>
      <x:c r="C25" s="19" t="str">
        <x:v>CCI++Z18/CAV</x:v>
      </x:c>
      <x:c r="D25" s="19" t="str">
        <x:v>CCI++Z17/CAV</x:v>
      </x:c>
      <x:c r="E25" s="19" t="str">
        <x:v>71</x:v>
      </x:c>
    </x:row>
    <x:row r="26" ht="32" customHeight="1">
      <x:c r="A26" s="19" t="str">
        <x:v>225</x:v>
      </x:c>
      <x:c r="B26" s="19" t="str">
        <x:v>Gammalt mätarnummer</x:v>
      </x:c>
      <x:c r="C26" s="19" t="str">
        <x:v>RFF+MG</x:v>
      </x:c>
      <x:c r="D26" s="19" t="str">
        <x:v>RFF+Z02</x:v>
      </x:c>
      <x:c r="E26" s="19" t="str">
        <x:v>76</x:v>
      </x:c>
    </x:row>
    <x:row r="27" ht="32" customHeight="1">
      <x:c r="A27" s="19" t="str">
        <x:v>308</x:v>
      </x:c>
      <x:c r="B27" s="19" t="str">
        <x:v>Leverantörens avtalsnummer</x:v>
      </x:c>
      <x:c r="C27" s="19" t="str">
        <x:v>RFF+CT</x:v>
      </x:c>
      <x:c r="D27" s="19" t="str">
        <x:v>RFF+VC</x:v>
      </x:c>
      <x:c r="E27" s="19" t="str">
        <x:v>76</x:v>
      </x:c>
    </x:row>
    <x:row r="28" ht="32" customHeight="1">
      <x:c r="A28" s="19" t="str">
        <x:v>320</x:v>
      </x:c>
      <x:c r="B28" s="19" t="str">
        <x:v>Värmevärdesområde (gas)</x:v>
      </x:c>
      <x:c r="C28" s="19" t="str">
        <x:v>RFF+Z10</x:v>
      </x:c>
      <x:c r="D28" s="19" t="str">
        <x:v>RFF+Z08</x:v>
      </x:c>
      <x:c r="E28" s="19" t="str">
        <x:v>77</x:v>
      </x:c>
    </x:row>
    <x:row r="29" ht="32" customHeight="1">
      <x:c r="A29" s="19" t="str">
        <x:v>240</x:v>
      </x:c>
      <x:c r="B29" s="19" t="str">
        <x:v>Serie-id (gas)</x:v>
      </x:c>
      <x:c r="C29" s="19" t="str">
        <x:v>RFF+SI</x:v>
      </x:c>
      <x:c r="D29" s="19" t="str">
        <x:v>RFF+Z06</x:v>
      </x:c>
      <x:c r="E29" s="19" t="str">
        <x:v>77</x:v>
      </x:c>
    </x:row>
    <x:row r="30" ht="32" customHeight="1">
      <x:c r="A30" s="19" t="str">
        <x:v>325</x:v>
      </x:c>
      <x:c r="B30" s="19" t="str">
        <x:v>Tillståndets id</x:v>
      </x:c>
      <x:c r="C30" s="19" t="str">
        <x:v>RFF+ZPI</x:v>
      </x:c>
      <x:c r="D30" s="19" t="str">
        <x:v>RFF+Z09</x:v>
      </x:c>
      <x:c r="E30" s="19" t="str">
        <x:v>78</x:v>
      </x:c>
    </x:row>
  </x:sheetData>
  <x:mergeCells>
    <x:mergeCell ref="A1:E1"/>
    <x:mergeCell ref="A2:E2"/>
  </x:mergeCells>
  <x:pageMargins left="0.7" right="0.7" top="0.75" bottom="0.75" header="0.3" footer="0.3"/>
  <x:tableParts count="1">
    <x:tablePart xmlns:r="http://schemas.openxmlformats.org/officeDocument/2006/relationships" r:id="R745077bfb7274d81"/>
  </x:tableParts>
</x:worksheet>
</file>

<file path=xl/worksheets/sheet19.xml><?xml version="1.0" encoding="utf-8"?>
<x:worksheet xmlns:x="http://schemas.openxmlformats.org/spreadsheetml/2006/main">
  <x:sheetFormatPr defaultRowHeight="15"/>
  <x:cols>
    <x:col min="1" max="1" width="14" hidden="0" customWidth="1"/>
    <x:col min="2" max="2" width="47" hidden="0" customWidth="1"/>
    <x:col min="3" max="3" width="82" hidden="0" customWidth="1"/>
    <x:col min="4" max="4" width="72" hidden="0" customWidth="1"/>
    <x:col min="5" max="5" width="12" hidden="0" customWidth="1"/>
    <x:col min="6" max="6" width="64" hidden="0" customWidth="1"/>
    <x:col min="7" max="7" width="62" hidden="0" customWidth="1"/>
  </x:cols>
  <x:sheetData>
    <x:row r="1" ht="30" customHeight="1">
      <x:c r="A1" s="3" t="str">
        <x:v>Källregister · Gridex Ediel v2</x:v>
      </x:c>
      <x:c r="B1" s="3"/>
      <x:c r="C1" s="3"/>
      <x:c r="D1" s="3"/>
      <x:c r="E1" s="3"/>
      <x:c r="F1" s="3"/>
      <x:c r="G1" s="3"/>
    </x:row>
    <x:row r="2" ht="34" customHeight="1">
      <x:c r="A2" s="8" t="str">
        <x:v>Lokala PDF-hashar avser originalen. En registerexport eller en referensfil är inte i sig ett produktionsgodkännande.</x:v>
      </x:c>
      <x:c r="B2" s="8"/>
      <x:c r="C2" s="8"/>
      <x:c r="D2" s="8"/>
      <x:c r="E2" s="8"/>
      <x:c r="F2" s="8"/>
      <x:c r="G2" s="8"/>
    </x:row>
    <x:row r="4" ht="37" customHeight="1">
      <x:c r="A4" s="14" t="str">
        <x:v>Käll-id</x:v>
      </x:c>
      <x:c r="B4" s="14" t="str">
        <x:v>Dokument</x:v>
      </x:c>
      <x:c r="C4" s="14" t="str">
        <x:v>Originalfil</x:v>
      </x:c>
      <x:c r="D4" s="14" t="str">
        <x:v>SHA-256 / status</x:v>
      </x:c>
      <x:c r="E4" s="14" t="str">
        <x:v>Sidor</x:v>
      </x:c>
      <x:c r="F4" s="14" t="str">
        <x:v>Åtkomst / begränsning</x:v>
      </x:c>
      <x:c r="G4" s="14" t="str">
        <x:v>Officiell plats</x:v>
      </x:c>
    </x:row>
    <x:row r="5" ht="32" customHeight="1">
      <x:c r="A5" s="19" t="str">
        <x:v>P</x:v>
      </x:c>
      <x:c r="B5" s="19" t="str">
        <x:v>PRODAT 26.A / naturgas 16.B, revision 3</x:v>
      </x:c>
      <x:c r="C5" s="19" t="str">
        <x:v>260630_Ediel_PRODAT_APERAK_Anvisning_version_26-A_16-B(6).pdf</x:v>
      </x:c>
      <x:c r="D5" s="19" t="str">
        <x:v>83c2f1d2915851d2e670731f6ab404ef06c9b9def282afbafdfa0eda836a6e95</x:v>
      </x:c>
      <x:c r="E5" s="19" t="str">
        <x:v>140</x:v>
      </x:c>
      <x:c r="F5" s="19" t="str">
        <x:v>Uppladdad originalfil, analyserad</x:v>
      </x:c>
      <x:c r="G5" s="19" t="str">
        <x:v>https://www.ediel.se/Info/edielanvisningar</x:v>
      </x:c>
    </x:row>
    <x:row r="6" ht="32" customHeight="1">
      <x:c r="A6" s="19" t="str">
        <x:v>T</x:v>
      </x:c>
      <x:c r="B6" s="19" t="str">
        <x:v>Generella tekniska regler 24.A, revision 6</x:v>
      </x:c>
      <x:c r="C6" s="19" t="str">
        <x:v>260220_Ediel-anvisning-generella_tekniska_regler_version_24-A-6(4).pdf</x:v>
      </x:c>
      <x:c r="D6" s="19" t="str">
        <x:v>5204d4514774b04b8eedb039e1f4799ed447c7fef14554577935e2d7bd93f951</x:v>
      </x:c>
      <x:c r="E6" s="19" t="str">
        <x:v>60</x:v>
      </x:c>
      <x:c r="F6" s="19" t="str">
        <x:v>Uppladdad originalfil, analyserad</x:v>
      </x:c>
      <x:c r="G6" s="19" t="str">
        <x:v>https://www.ediel.se/Info/edielanvisningar</x:v>
      </x:c>
    </x:row>
    <x:row r="7" ht="36.599998474121094" customHeight="1">
      <x:c r="A7" s="19" t="str">
        <x:v>U</x:v>
      </x:c>
      <x:c r="B7" s="19" t="str">
        <x:v>UTILTS svensk oktoberprofil, omslagsrevision 4</x:v>
      </x:c>
      <x:c r="C7" s="19" t="str">
        <x:v>260331_Ediel_UTILTS-APERAK_Anvisning_version_25-A-4.pdf</x:v>
      </x:c>
      <x:c r="D7" s="19" t="str">
        <x:v>0524c18f38864ebe081dec9d3d53f1797b224ef0af7b01986627e895f47d99be</x:v>
      </x:c>
      <x:c r="E7" s="19" t="str">
        <x:v>135</x:v>
      </x:c>
      <x:c r="F7" s="19" t="str">
        <x:v>Uppladdad originalfil, analyserad</x:v>
      </x:c>
      <x:c r="G7" s="19" t="str">
        <x:v>https://www.ediel.se/Info/edielanvisningar</x:v>
      </x:c>
    </x:row>
    <x:row r="8" ht="32" customHeight="1">
      <x:c r="A8" s="19" t="str">
        <x:v>UE</x:v>
      </x:c>
      <x:c r="B8" s="19" t="str">
        <x:v>UTILTS engelsk översättning, oktoberprofil</x:v>
      </x:c>
      <x:c r="C8" s="19" t="str">
        <x:v>260331_Ediel_UTILTS-APERAK_User_Guide_Version_25-A-4 (2).pdf</x:v>
      </x:c>
      <x:c r="D8" s="19" t="str">
        <x:v>a2f2018077b253bb012ef0255c6dc98dcfffeb65b9e707af5ca131838990a92a</x:v>
      </x:c>
      <x:c r="E8" s="19" t="str">
        <x:v>135</x:v>
      </x:c>
      <x:c r="F8" s="19" t="str">
        <x:v>Uppladdad originalfil, analyserad</x:v>
      </x:c>
      <x:c r="G8" s="19" t="str">
        <x:v>https://www.ediel.se/Info/edielanvisningar</x:v>
      </x:c>
    </x:row>
    <x:row r="9" ht="32" customHeight="1">
      <x:c r="A9" s="19" t="str">
        <x:v>AI</x:v>
      </x:c>
      <x:c r="B9" s="19" t="str">
        <x:v>AI-listan 14.A, revision 3</x:v>
      </x:c>
      <x:c r="C9" s="19" t="str">
        <x:v>250401_Ediel_AI-listan_Anvisning_version_14-A-3 Giltig fr_n 2025-10-01(5).pdf</x:v>
      </x:c>
      <x:c r="D9" s="19" t="str">
        <x:v>c5815bacbc40beb1ee1b36cb03c71a089fbc18cda3368811afadcdca78899351</x:v>
      </x:c>
      <x:c r="E9" s="19" t="str">
        <x:v>11</x:v>
      </x:c>
      <x:c r="F9" s="19" t="str">
        <x:v>Uppladdad originalfil, analyserad</x:v>
      </x:c>
      <x:c r="G9" s="19" t="str">
        <x:v>https://www.ediel.se/Info/edielanvisningar</x:v>
      </x:c>
    </x:row>
    <x:row r="10" ht="32" customHeight="1">
      <x:c r="A10" s="19" t="str">
        <x:v>OE</x:v>
      </x:c>
      <x:c r="B10" s="19" t="str">
        <x:v>UTILTS objektexempel, revision 1</x:v>
      </x:c>
      <x:c r="C10" s="19" t="str">
        <x:v>UTILTS-APERAK_ver_E5SE5A_exempelsamling_objekt_el_250430 (1).pdf</x:v>
      </x:c>
      <x:c r="D10" s="19" t="str">
        <x:v>36741ce40f0b67c12cc7df655afd4e260fef86712f3d0272bd6ee61dd76aee6d</x:v>
      </x:c>
      <x:c r="E10" s="19" t="str">
        <x:v>57</x:v>
      </x:c>
      <x:c r="F10" s="19" t="str">
        <x:v>Uppladdad originalfil, analyserad</x:v>
      </x:c>
      <x:c r="G10" s="19" t="str">
        <x:v>https://www.ediel.se/Info/edielanvisningar</x:v>
      </x:c>
    </x:row>
    <x:row r="11" ht="36.599998474121094" customHeight="1">
      <x:c r="A11" s="19" t="str">
        <x:v>AP</x:v>
      </x:c>
      <x:c r="B11" s="19" t="str">
        <x:v>Övrig APERAK 05.B.5, inte P/U-familjernas anvisning</x:v>
      </x:c>
      <x:c r="C11" s="19" t="str">
        <x:v>260807_ANVISNING_APERAK_VERSION05.B.5(4).pdf</x:v>
      </x:c>
      <x:c r="D11" s="19" t="str">
        <x:v>0bc4790af2509d19c682748c4aeb85d7acc75cd30214636bae259e2c6c3594bd</x:v>
      </x:c>
      <x:c r="E11" s="19" t="str">
        <x:v>26</x:v>
      </x:c>
      <x:c r="F11" s="19" t="str">
        <x:v>Uppladdad originalfil, analyserad</x:v>
      </x:c>
      <x:c r="G11" s="19" t="str">
        <x:v>https://www.ediel.se/Info/edielanvisningar</x:v>
      </x:c>
    </x:row>
    <x:row r="12" ht="36.599998474121094" customHeight="1">
      <x:c r="A12" s="19" t="str">
        <x:v>HB</x:v>
      </x:c>
      <x:c r="B12" s="19" t="str">
        <x:v>Elmarknadshandboken 26A</x:v>
      </x:c>
      <x:c r="C12" s="19" t="str">
        <x:v>NEMHB.pdf</x:v>
      </x:c>
      <x:c r="D12" s="19" t="str">
        <x:v>Inte lokalt byteverifierad</x:v>
      </x:c>
      <x:c r="E12" s="19" t="str">
        <x:v>241</x:v>
      </x:c>
      <x:c r="F12" s="19" t="str">
        <x:v>Läst online; relevanta tabeller granskade visuellt</x:v>
      </x:c>
      <x:c r="G12" s="19" t="str">
        <x:v>https://www.elmarknadshandboken.se/Dokumentation/Texter/NEMHB.pdf</x:v>
      </x:c>
    </x:row>
    <x:row r="13" ht="32" customHeight="1">
      <x:c r="A13" s="19" t="str">
        <x:v>REG</x:v>
      </x:c>
      <x:c r="B13" s="19" t="str">
        <x:v>Edielregisterexport</x:v>
      </x:c>
      <x:c r="C13" s="19" t="str">
        <x:v>companies.xml</x:v>
      </x:c>
      <x:c r="D13" s="19" t="str">
        <x:v>e94c3fac98913a113573376d6e0134ce3c5b5778cf6c8c8905dd9174db30d9ab</x:v>
      </x:c>
      <x:c r="E13" s="19" t="str">
        <x:v>—</x:v>
      </x:c>
      <x:c r="F13" s="19" t="str">
        <x:v>Uppladdad export 2026-09-10; ingen liveimport utförd</x:v>
      </x:c>
      <x:c r="G13" s="19" t="str">
        <x:v>https://www.ediel.se</x:v>
      </x:c>
    </x:row>
    <x:row r="14" ht="32" customHeight="1">
      <x:c r="A14" s="19" t="str">
        <x:v>TEST</x:v>
      </x:c>
      <x:c r="B14" s="19" t="str">
        <x:v>Aktuell testförteckning</x:v>
      </x:c>
      <x:c r="C14" s="19" t="str">
        <x:v>Se öppna underlag G03</x:v>
      </x:c>
      <x:c r="D14" s="19" t="str">
        <x:v>Fullständiga testfiler återstår</x:v>
      </x:c>
      <x:c r="E14" s="19" t="str">
        <x:v>—</x:v>
      </x:c>
      <x:c r="F14" s="19" t="str">
        <x:v>Förteckning läst; innehåll och godkännandeomfattning återstår</x:v>
      </x:c>
      <x:c r="G14" s="19" t="str">
        <x:v>https://www.ediel.se/Info/systemtest</x:v>
      </x:c>
    </x:row>
  </x:sheetData>
  <x:mergeCells>
    <x:mergeCell ref="A1:G1"/>
    <x:mergeCell ref="A2:G2"/>
  </x:mergeCells>
  <x:pageMargins left="0.7" right="0.7" top="0.75" bottom="0.75" header="0.3" footer="0.3"/>
  <x:tableParts count="1">
    <x:tablePart xmlns:r="http://schemas.openxmlformats.org/officeDocument/2006/relationships" r:id="Re437771d1bca4dce"/>
  </x:tableParts>
</x:worksheet>
</file>